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tables/table10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tables/table11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tables/table1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10.xml" ContentType="application/vnd.openxmlformats-officedocument.spreadsheetml.pivotTable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11.xml" ContentType="application/vnd.openxmlformats-officedocument.spreadsheetml.pivotTable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5.xml" ContentType="application/vnd.openxmlformats-officedocument.drawing+xml"/>
  <Override PartName="/xl/tables/table16.xml" ContentType="application/vnd.openxmlformats-officedocument.spreadsheetml.tab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14.xml" ContentType="application/vnd.openxmlformats-officedocument.spreadsheetml.pivotTable+xml"/>
  <Override PartName="/xl/drawings/drawing16.xml" ContentType="application/vnd.openxmlformats-officedocument.drawing+xml"/>
  <Override PartName="/xl/tables/table1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pivotTables/pivotTable15.xml" ContentType="application/vnd.openxmlformats-officedocument.spreadsheetml.pivotTable+xml"/>
  <Override PartName="/xl/drawings/drawing17.xml" ContentType="application/vnd.openxmlformats-officedocument.drawing+xml"/>
  <Override PartName="/xl/tables/table18.xml" ContentType="application/vnd.openxmlformats-officedocument.spreadsheetml.tab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pivotTables/pivotTable16.xml" ContentType="application/vnd.openxmlformats-officedocument.spreadsheetml.pivotTable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LIKI\Data Heroes\SQL Project\"/>
    </mc:Choice>
  </mc:AlternateContent>
  <xr:revisionPtr revIDLastSave="0" documentId="13_ncr:1_{47A9B455-2E82-438F-B6AF-C07F73F65539}" xr6:coauthVersionLast="47" xr6:coauthVersionMax="47" xr10:uidLastSave="{00000000-0000-0000-0000-000000000000}"/>
  <bookViews>
    <workbookView xWindow="-108" yWindow="-108" windowWidth="23256" windowHeight="12720" tabRatio="841" xr2:uid="{1F822A1B-0A18-4FC6-BEC0-FFEF9529C43F}"/>
  </bookViews>
  <sheets>
    <sheet name="1_SLA_overview&amp;Month_trend" sheetId="17" r:id="rId1"/>
    <sheet name="SLA_overview" sheetId="1" state="hidden" r:id="rId2"/>
    <sheet name="Monthly_Lead_Time" sheetId="20" state="hidden" r:id="rId3"/>
    <sheet name="SLA_Month_trend" sheetId="21" state="hidden" r:id="rId4"/>
    <sheet name="SLA_Month_trend_rawdata" sheetId="2" state="hidden" r:id="rId5"/>
    <sheet name="Weekly_Lead_Time" sheetId="22" state="hidden" r:id="rId6"/>
    <sheet name="SLA_Week_trend" sheetId="23" state="hidden" r:id="rId7"/>
    <sheet name="SLA_Week_trend_rawdata" sheetId="3" state="hidden" r:id="rId8"/>
    <sheet name="SLA_Backlog_data" sheetId="4" state="hidden" r:id="rId9"/>
    <sheet name="1_SLA_Week_trend&amp;Backlog" sheetId="28" r:id="rId10"/>
    <sheet name="2_Bottleneck" sheetId="24" r:id="rId11"/>
    <sheet name="Stage_duaration" sheetId="6" state="hidden" r:id="rId12"/>
    <sheet name="Abnormalities" sheetId="7" state="hidden" r:id="rId13"/>
    <sheet name="Bottleneck_contribution" sheetId="9" state="hidden" r:id="rId14"/>
    <sheet name="3_Vendor" sheetId="25" r:id="rId15"/>
    <sheet name="Vendor_ranking" sheetId="15" state="hidden" r:id="rId16"/>
    <sheet name="Vendor_duaration" sheetId="10" state="hidden" r:id="rId17"/>
    <sheet name="Vendor_bottleneck" sheetId="11" state="hidden" r:id="rId18"/>
    <sheet name="3_Spend_area" sheetId="27" r:id="rId19"/>
    <sheet name="Spend_area_ranking" sheetId="16" state="hidden" r:id="rId20"/>
    <sheet name="Spend_area_duaration" sheetId="12" state="hidden" r:id="rId21"/>
    <sheet name="Spend_area_bottleneck" sheetId="13" state="hidden" r:id="rId22"/>
    <sheet name="3_Company" sheetId="26" r:id="rId23"/>
    <sheet name="Company_ranking" sheetId="14" state="hidden" r:id="rId24"/>
  </sheets>
  <definedNames>
    <definedName name="ExternalData_1" localSheetId="2" hidden="1">Monthly_Lead_Time!$A$1:$E$35</definedName>
    <definedName name="ExternalData_1" localSheetId="3" hidden="1">SLA_Month_trend!$A$3:$D$52</definedName>
    <definedName name="ExternalData_1" localSheetId="6" hidden="1">SLA_Week_trend!$A$3:$F$37</definedName>
    <definedName name="ExternalData_1" localSheetId="5" hidden="1">Weekly_Lead_Time!$A$1:$E$19</definedName>
  </definedNames>
  <calcPr calcId="191029"/>
  <pivotCaches>
    <pivotCache cacheId="12" r:id="rId25"/>
    <pivotCache cacheId="13" r:id="rId26"/>
    <pivotCache cacheId="14" r:id="rId27"/>
    <pivotCache cacheId="15" r:id="rId28"/>
    <pivotCache cacheId="16" r:id="rId29"/>
    <pivotCache cacheId="17" r:id="rId30"/>
    <pivotCache cacheId="18" r:id="rId31"/>
    <pivotCache cacheId="19" r:id="rId32"/>
    <pivotCache cacheId="20" r:id="rId33"/>
    <pivotCache cacheId="21" r:id="rId34"/>
    <pivotCache cacheId="22" r:id="rId35"/>
    <pivotCache cacheId="23" r:id="rId3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N14" i="17"/>
  <c r="L14" i="17"/>
  <c r="K27" i="1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AA22" i="25"/>
  <c r="O30" i="1"/>
  <c r="Q30" i="1"/>
  <c r="D46" i="2"/>
  <c r="F4" i="1"/>
  <c r="F5" i="1"/>
  <c r="F6" i="1"/>
  <c r="F7" i="1"/>
  <c r="F8" i="1"/>
  <c r="F9" i="1"/>
  <c r="F10" i="1"/>
  <c r="F11" i="1"/>
  <c r="F12" i="1"/>
  <c r="F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A9A030-EAA1-402E-9D0E-FF7C396025F5}" keepAlive="1" name="Query - Weekly_Age_days" description="Connection to the 'Weekly_Age_days' query in the workbook." type="5" refreshedVersion="8" background="1" saveData="1">
    <dbPr connection="Provider=Microsoft.Mashup.OleDb.1;Data Source=$Workbook$;Location=Weekly_Age_days;Extended Properties=&quot;&quot;" command="SELECT * FROM [Weekly_Age_days]"/>
  </connection>
  <connection id="2" xr16:uid="{6BE0EF31-2F42-428F-9168-890FE799E427}" keepAlive="1" name="Query - Weekly_Lead_Time" description="Connection to the 'Weekly_Lead_Time' query in the workbook." type="5" refreshedVersion="8" background="1" saveData="1">
    <dbPr connection="Provider=Microsoft.Mashup.OleDb.1;Data Source=$Workbook$;Location=Weekly_Lead_Time;Extended Properties=&quot;&quot;" command="SELECT * FROM [Weekly_Lead_Time]"/>
  </connection>
  <connection id="3" xr16:uid="{B9F29278-791A-4A4C-BB81-58CAA7A7546F}" keepAlive="1" name="Zapytanie — Monthly_Age_days" description="Połączenie z zapytaniem „Monthly_Age_days” w skoroszycie." type="5" refreshedVersion="8" background="1" saveData="1">
    <dbPr connection="Provider=Microsoft.Mashup.OleDb.1;Data Source=$Workbook$;Location=Monthly_Age_days;Extended Properties=&quot;&quot;" command="SELECT * FROM [Monthly_Age_days]"/>
  </connection>
  <connection id="4" xr16:uid="{7050F40F-562A-44F6-86FD-C98B196BBEFC}" keepAlive="1" name="Zapytanie — Monthly_Lead_Time" description="Połączenie z zapytaniem „Monthly_Lead_Time” w skoroszycie." type="5" refreshedVersion="8" background="1" saveData="1">
    <dbPr connection="Provider=Microsoft.Mashup.OleDb.1;Data Source=$Workbook$;Location=Monthly_Lead_Time;Extended Properties=&quot;&quot;" command="SELECT * FROM [Monthly_Lead_Time]"/>
  </connection>
</connections>
</file>

<file path=xl/sharedStrings.xml><?xml version="1.0" encoding="utf-8"?>
<sst xmlns="http://schemas.openxmlformats.org/spreadsheetml/2006/main" count="1697" uniqueCount="219">
  <si>
    <t>Duration_Type</t>
  </si>
  <si>
    <t>Distribution_Buckets</t>
  </si>
  <si>
    <t>Risk_Status</t>
  </si>
  <si>
    <t>Amount</t>
  </si>
  <si>
    <t>Ratio</t>
  </si>
  <si>
    <t>Lead Time</t>
  </si>
  <si>
    <t>Acceptable</t>
  </si>
  <si>
    <t>Watchlist</t>
  </si>
  <si>
    <t>At Risk</t>
  </si>
  <si>
    <t>Aged</t>
  </si>
  <si>
    <t>&gt;150</t>
  </si>
  <si>
    <t>Critical</t>
  </si>
  <si>
    <t>Age days</t>
  </si>
  <si>
    <t>Time_Period</t>
  </si>
  <si>
    <t>2019-01</t>
  </si>
  <si>
    <t>2018-12</t>
  </si>
  <si>
    <t>2018-11</t>
  </si>
  <si>
    <t>2018-10</t>
  </si>
  <si>
    <t>Overdue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</si>
  <si>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</si>
  <si>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</si>
  <si>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</si>
  <si>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</si>
  <si>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</si>
  <si>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</si>
  <si>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</si>
  <si>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</si>
  <si>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</si>
  <si>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2019-03</t>
  </si>
  <si>
    <t>2019-02</t>
  </si>
  <si>
    <t>2018-52</t>
  </si>
  <si>
    <t>2018-51</t>
  </si>
  <si>
    <t>2018-50</t>
  </si>
  <si>
    <t>2018-49</t>
  </si>
  <si>
    <t>2018-48</t>
  </si>
  <si>
    <t>2018-47</t>
  </si>
  <si>
    <t>2018-46</t>
  </si>
  <si>
    <t>2018-45</t>
  </si>
  <si>
    <t>2018-44</t>
  </si>
  <si>
    <t>2018-43</t>
  </si>
  <si>
    <t>2018-42</t>
  </si>
  <si>
    <t>Total_Number_Of_Open_Cases</t>
  </si>
  <si>
    <t>Avg_Duration_Days</t>
  </si>
  <si>
    <t>Stage_All_Cases</t>
  </si>
  <si>
    <t>Median</t>
  </si>
  <si>
    <t>P90</t>
  </si>
  <si>
    <t>PO_GR_Days</t>
  </si>
  <si>
    <t>GR_IR_Days</t>
  </si>
  <si>
    <t>IR_CI_Days</t>
  </si>
  <si>
    <t>Stage_LT_Within_75</t>
  </si>
  <si>
    <t>Stage_LT_Without_75</t>
  </si>
  <si>
    <t>Primary_Issue</t>
  </si>
  <si>
    <t>Lack abnormality</t>
  </si>
  <si>
    <t>Missing_GR</t>
  </si>
  <si>
    <t>Missing_IR</t>
  </si>
  <si>
    <t>Invalid_GR_IR</t>
  </si>
  <si>
    <t>Invalid_IR_CI</t>
  </si>
  <si>
    <t>Missing_CI</t>
  </si>
  <si>
    <t>Stage</t>
  </si>
  <si>
    <t>Stage_Within_75</t>
  </si>
  <si>
    <t>Stage_Without_75</t>
  </si>
  <si>
    <t>Vendor_key</t>
  </si>
  <si>
    <t>Vendor_Rank</t>
  </si>
  <si>
    <t>Cases_Number</t>
  </si>
  <si>
    <t>Median_Bottleneck</t>
  </si>
  <si>
    <t>Spend_Area_key</t>
  </si>
  <si>
    <t>Spend_Area_Rank</t>
  </si>
  <si>
    <t>Spend_area_sub</t>
  </si>
  <si>
    <t>Spend_class</t>
  </si>
  <si>
    <t>Packaging</t>
  </si>
  <si>
    <t>Labels</t>
  </si>
  <si>
    <t>Metal Containers &amp; Lids &lt; 30L</t>
  </si>
  <si>
    <t>Sales</t>
  </si>
  <si>
    <t>Products for Resale</t>
  </si>
  <si>
    <t>Plastic Containers &amp; Lids &lt; 30L</t>
  </si>
  <si>
    <t>Trading &amp; End Products</t>
  </si>
  <si>
    <t>Trading products (old structure)</t>
  </si>
  <si>
    <t>Packaging - Other</t>
  </si>
  <si>
    <t>Additives</t>
  </si>
  <si>
    <t>Extenders</t>
  </si>
  <si>
    <t>Surfactants</t>
  </si>
  <si>
    <t>Rheology &amp; Thixotropic Agents</t>
  </si>
  <si>
    <t>Company_key</t>
  </si>
  <si>
    <t>Total_cases</t>
  </si>
  <si>
    <t>Delay_cases</t>
  </si>
  <si>
    <t>Delayed_Rate</t>
  </si>
  <si>
    <t>Impact_Share</t>
  </si>
  <si>
    <t>Company_Rank</t>
  </si>
  <si>
    <t>Backlog</t>
  </si>
  <si>
    <t>Latex &amp; Monomers</t>
  </si>
  <si>
    <t>NULL</t>
  </si>
  <si>
    <t>Specialty Resins</t>
  </si>
  <si>
    <t>Solvents</t>
  </si>
  <si>
    <t>Pigments &amp; Colorants</t>
  </si>
  <si>
    <t>Marketing</t>
  </si>
  <si>
    <t>Titanium Dioxides</t>
  </si>
  <si>
    <t>Logistics</t>
  </si>
  <si>
    <t>Others</t>
  </si>
  <si>
    <t>CAPEX &amp; SOCS</t>
  </si>
  <si>
    <t>Enterprise Services</t>
  </si>
  <si>
    <t>Cases_Status</t>
  </si>
  <si>
    <t>Lead Time &lt;= 75 days</t>
  </si>
  <si>
    <t>Lead Time &gt; 75 days</t>
  </si>
  <si>
    <t>Total Number</t>
  </si>
  <si>
    <t>Case Status</t>
  </si>
  <si>
    <t>Closed Cases</t>
  </si>
  <si>
    <t>Open Cases</t>
  </si>
  <si>
    <t>Month</t>
  </si>
  <si>
    <t>Ratio Within Month</t>
  </si>
  <si>
    <t>Row Labels</t>
  </si>
  <si>
    <t>2018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</si>
  <si>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</si>
  <si>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</si>
  <si>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</si>
  <si>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</si>
  <si>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</si>
  <si>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</si>
  <si>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</si>
  <si>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</si>
  <si>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</si>
  <si>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</si>
  <si>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</si>
  <si>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</si>
  <si>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</si>
  <si>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Cases</t>
  </si>
  <si>
    <t>Week</t>
  </si>
  <si>
    <t>Ratio Within Week</t>
  </si>
  <si>
    <t>Year</t>
  </si>
  <si>
    <t>Closed Cases &lt;= 75 days</t>
  </si>
  <si>
    <t>Closed Cases &gt; 75 days</t>
  </si>
  <si>
    <t>Ratio [%]</t>
  </si>
  <si>
    <t>Risk Status</t>
  </si>
  <si>
    <t>Avg Duration Days</t>
  </si>
  <si>
    <t>Days Duaration Limit</t>
  </si>
  <si>
    <t>Duaration Days</t>
  </si>
  <si>
    <t>Days Duration Limits</t>
  </si>
  <si>
    <t>Total</t>
  </si>
  <si>
    <t>Ratio %</t>
  </si>
  <si>
    <t>Cases Type</t>
  </si>
  <si>
    <t xml:space="preserve">Median </t>
  </si>
  <si>
    <t>All</t>
  </si>
  <si>
    <t>Grand Total</t>
  </si>
  <si>
    <t xml:space="preserve">P90 </t>
  </si>
  <si>
    <t xml:space="preserve">Median  </t>
  </si>
  <si>
    <t>Sum of Delay_cases</t>
  </si>
  <si>
    <t>Sum of Median</t>
  </si>
  <si>
    <t xml:space="preserve">Median   </t>
  </si>
  <si>
    <t>Rank</t>
  </si>
  <si>
    <t>Vendor Key</t>
  </si>
  <si>
    <t>Delay Cases</t>
  </si>
  <si>
    <t>Delayed Rate</t>
  </si>
  <si>
    <t>Impact Share</t>
  </si>
  <si>
    <t>SUM</t>
  </si>
  <si>
    <t>Case Number</t>
  </si>
  <si>
    <t>SLA</t>
  </si>
  <si>
    <t>Non-SLA</t>
  </si>
  <si>
    <t>PO → GR</t>
  </si>
  <si>
    <t>GR → IR</t>
  </si>
  <si>
    <t>IR → CI</t>
  </si>
  <si>
    <t>Delay_flag</t>
  </si>
  <si>
    <t>Median duration of on-time cases</t>
  </si>
  <si>
    <t>Total cases</t>
  </si>
  <si>
    <t>Delayed Ratio</t>
  </si>
  <si>
    <t>Delay cases</t>
  </si>
  <si>
    <t xml:space="preserve">Delay cases  </t>
  </si>
  <si>
    <t>Spend Area with sub category</t>
  </si>
  <si>
    <t>Company ID</t>
  </si>
  <si>
    <t>92: Labels</t>
  </si>
  <si>
    <t>93: Metal Containers &amp; Lids &lt; 30L</t>
  </si>
  <si>
    <t>94: Packaging - Other</t>
  </si>
  <si>
    <t>97: Plastic Containers &amp; Lids &lt; 30L</t>
  </si>
  <si>
    <t>230: Labels</t>
  </si>
  <si>
    <t>112: Products for Resale</t>
  </si>
  <si>
    <t>134: Trading products (old structure)</t>
  </si>
  <si>
    <t>29: Extenders</t>
  </si>
  <si>
    <t>34: Rheology &amp; Thixotropic Agents</t>
  </si>
  <si>
    <t>35: Surfactants</t>
  </si>
  <si>
    <t>--- RAW DATA (SQL OUTPUT) ---</t>
  </si>
  <si>
    <t>--- RAW DATA (SQL OUTPUT)  TRANSFOR TO TABLE ---</t>
  </si>
  <si>
    <t>--- PIVOT TABLE ---</t>
  </si>
  <si>
    <t>--- DATA PREPARATION ---</t>
  </si>
  <si>
    <t>--- VISUALISATION ---</t>
  </si>
  <si>
    <t>Day Duration</t>
  </si>
  <si>
    <t>Cases Status</t>
  </si>
  <si>
    <t>below column was transfor</t>
  </si>
  <si>
    <t xml:space="preserve">Ratio %  </t>
  </si>
  <si>
    <t>--- RAW DATA (SQL OUTPUT)  ---</t>
  </si>
  <si>
    <t>Contribution to Delay</t>
  </si>
  <si>
    <t>Data preparation done in Power Query</t>
  </si>
  <si>
    <t>SQL output (no transformation applied in Excel)</t>
  </si>
  <si>
    <t>Days Duaration</t>
  </si>
  <si>
    <t>Vendor Rank, Vendor Key</t>
  </si>
  <si>
    <t>Spend area Rank, Spend area Key</t>
  </si>
  <si>
    <t>Company Key</t>
  </si>
  <si>
    <t>Spend area rank, Spend area key</t>
  </si>
  <si>
    <t xml:space="preserve">Total_cases  </t>
  </si>
  <si>
    <t xml:space="preserve">Delay_cases  </t>
  </si>
  <si>
    <t xml:space="preserve">Impact_Share   </t>
  </si>
  <si>
    <t>Stage, Cases Type</t>
  </si>
  <si>
    <t xml:space="preserve">Stage, Cases Type  </t>
  </si>
  <si>
    <t>Year, Week</t>
  </si>
  <si>
    <t xml:space="preserve">Year, Week  </t>
  </si>
  <si>
    <t>Year, Month</t>
  </si>
  <si>
    <t xml:space="preserve">Year, Month  </t>
  </si>
  <si>
    <t>Abnormalities &amp; Missingness distribution</t>
  </si>
  <si>
    <t>Analysis scope:</t>
  </si>
  <si>
    <t>Evaluation of SLA performance and backlog risk using duration buckets.</t>
  </si>
  <si>
    <t>Comparison of open vs closed cases to distinguish current risk from final performance.</t>
  </si>
  <si>
    <t>Weekly trend of SLA performance and backlog build-up.</t>
  </si>
  <si>
    <t>Focus on short-term changes and identification of periods with increased delay risk.</t>
  </si>
  <si>
    <t>Identification of process bottlenecks using stage duration and contribution to lead time.</t>
  </si>
  <si>
    <t>Focus on differences between SLA and delayed cases to detect critical stages.</t>
  </si>
  <si>
    <t>Bottleneck contribution = stage duration divided by total lead time.</t>
  </si>
  <si>
    <t>Vendor segmentation based on delay volume and delay ratio.</t>
  </si>
  <si>
    <t>Focus on top vendors (Pareto approach) and their impact on process performance.</t>
  </si>
  <si>
    <t>Spend area segmentation based on delay cases and delay ratio.</t>
  </si>
  <si>
    <t>Focus on top categories driving delays and their impact on overall performance.</t>
  </si>
  <si>
    <t>Company-level distribution of delay cases.</t>
  </si>
  <si>
    <t>Focus on concentration of delays and identification of dominant entity.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</si>
</sst>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8"/>
      <color rgb="FF003366"/>
      <name val="Aptos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6"/>
        <bgColor theme="4"/>
      </patternFill>
    </fill>
    <fill>
      <patternFill patternType="solid">
        <fgColor theme="3"/>
        <bgColor theme="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rgb="FFCDE6FF"/>
        <bgColor indexed="64"/>
      </patternFill>
    </fill>
  </fills>
  <borders count="3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ck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ck">
        <color theme="4" tint="0.39997558519241921"/>
      </bottom>
      <diagonal/>
    </border>
    <border>
      <left style="thin">
        <color theme="4" tint="0.39997558519241921"/>
      </left>
      <right style="dashed">
        <color theme="4" tint="0.39997558519241921"/>
      </right>
      <top style="thick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dashed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dashed">
        <color theme="4" tint="0.39997558519241921"/>
      </right>
      <top style="thin">
        <color theme="4" tint="0.39997558519241921"/>
      </top>
      <bottom style="thick">
        <color theme="4" tint="0.39997558519241921"/>
      </bottom>
      <diagonal/>
    </border>
    <border>
      <left style="thin">
        <color theme="4" tint="0.39997558519241921"/>
      </left>
      <right style="dashed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medium">
        <color theme="4" tint="0.39997558519241921"/>
      </bottom>
      <diagonal/>
    </border>
    <border>
      <left style="thin">
        <color theme="4" tint="0.39997558519241921"/>
      </left>
      <right style="dashed">
        <color theme="4" tint="0.39997558519241921"/>
      </right>
      <top style="thin">
        <color theme="4" tint="0.39997558519241921"/>
      </top>
      <bottom style="medium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medium">
        <color theme="4" tint="0.39997558519241921"/>
      </bottom>
      <diagonal/>
    </border>
    <border>
      <left style="thin">
        <color theme="4" tint="0.39997558519241921"/>
      </left>
      <right style="dashed">
        <color theme="4" tint="0.39997558519241921"/>
      </right>
      <top/>
      <bottom style="medium">
        <color theme="4" tint="0.39997558519241921"/>
      </bottom>
      <diagonal/>
    </border>
    <border>
      <left/>
      <right style="thin">
        <color theme="4" tint="0.39997558519241921"/>
      </right>
      <top/>
      <bottom style="medium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59999389629810485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59999389629810485"/>
      </right>
      <top style="thin">
        <color theme="4" tint="0.39997558519241921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39997558519241921"/>
      </top>
      <bottom/>
      <diagonal/>
    </border>
    <border>
      <left/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/>
      <bottom style="thin">
        <color theme="4" tint="0.39997558519241921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0" fillId="3" borderId="13" xfId="0" applyNumberForma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3" fontId="0" fillId="3" borderId="12" xfId="0" applyNumberFormat="1" applyFill="1" applyBorder="1" applyAlignment="1">
      <alignment horizontal="center"/>
    </xf>
    <xf numFmtId="3" fontId="0" fillId="4" borderId="15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3" fontId="0" fillId="4" borderId="13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3" fontId="0" fillId="0" borderId="20" xfId="0" applyNumberFormat="1" applyBorder="1" applyAlignment="1">
      <alignment horizontal="center"/>
    </xf>
    <xf numFmtId="3" fontId="0" fillId="3" borderId="17" xfId="0" applyNumberForma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3" fontId="0" fillId="4" borderId="17" xfId="0" applyNumberForma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0" xfId="0" quotePrefix="1"/>
    <xf numFmtId="1" fontId="0" fillId="0" borderId="0" xfId="0" applyNumberFormat="1"/>
    <xf numFmtId="164" fontId="0" fillId="0" borderId="0" xfId="1" applyNumberFormat="1" applyFont="1"/>
    <xf numFmtId="0" fontId="4" fillId="3" borderId="22" xfId="0" applyFont="1" applyFill="1" applyBorder="1" applyAlignment="1">
      <alignment horizontal="center"/>
    </xf>
    <xf numFmtId="0" fontId="1" fillId="2" borderId="24" xfId="0" applyFont="1" applyFill="1" applyBorder="1"/>
    <xf numFmtId="0" fontId="0" fillId="3" borderId="24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0" fillId="3" borderId="24" xfId="0" applyFill="1" applyBorder="1"/>
    <xf numFmtId="0" fontId="0" fillId="0" borderId="24" xfId="0" applyBorder="1"/>
    <xf numFmtId="0" fontId="0" fillId="0" borderId="23" xfId="0" applyBorder="1"/>
    <xf numFmtId="3" fontId="0" fillId="3" borderId="26" xfId="0" applyNumberFormat="1" applyFill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0" fontId="4" fillId="8" borderId="22" xfId="0" applyFont="1" applyFill="1" applyBorder="1" applyAlignment="1">
      <alignment horizontal="center"/>
    </xf>
    <xf numFmtId="0" fontId="4" fillId="3" borderId="28" xfId="0" applyFont="1" applyFill="1" applyBorder="1"/>
    <xf numFmtId="0" fontId="4" fillId="8" borderId="28" xfId="0" applyFont="1" applyFill="1" applyBorder="1" applyAlignment="1">
      <alignment horizontal="left"/>
    </xf>
    <xf numFmtId="0" fontId="0" fillId="0" borderId="27" xfId="0" applyBorder="1" applyAlignment="1">
      <alignment horizontal="left" indent="1"/>
    </xf>
    <xf numFmtId="0" fontId="4" fillId="3" borderId="28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3" fontId="0" fillId="0" borderId="29" xfId="0" applyNumberFormat="1" applyBorder="1" applyAlignment="1">
      <alignment horizontal="center"/>
    </xf>
    <xf numFmtId="0" fontId="5" fillId="0" borderId="0" xfId="0" quotePrefix="1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0" borderId="0" xfId="0" applyNumberFormat="1"/>
    <xf numFmtId="0" fontId="6" fillId="0" borderId="0" xfId="0" applyFont="1" applyAlignment="1">
      <alignment horizontal="left" vertical="center" readingOrder="1"/>
    </xf>
    <xf numFmtId="0" fontId="7" fillId="0" borderId="0" xfId="0" applyFont="1"/>
  </cellXfs>
  <cellStyles count="2">
    <cellStyle name="Normal" xfId="0" builtinId="0"/>
    <cellStyle name="Per cent" xfId="1" builtinId="5"/>
  </cellStyles>
  <dxfs count="65">
    <dxf>
      <numFmt numFmtId="19" formatCode="dd/mm/yyyy"/>
    </dxf>
    <dxf>
      <numFmt numFmtId="19" formatCode="dd/mm/yyyy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</dxfs>
  <tableStyles count="0" defaultTableStyle="TableStyleMedium2" defaultPivotStyle="PivotStyleLight16"/>
  <colors>
    <mruColors>
      <color rgb="FFFCCA2A"/>
      <color rgb="FF2BA700"/>
      <color rgb="FF69BFFF"/>
      <color rgb="FFCDE6FF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0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pivotCacheDefinition" Target="pivotCache/pivotCacheDefinition9.xml"/><Relationship Id="rId38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5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8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36" Type="http://schemas.openxmlformats.org/officeDocument/2006/relationships/pivotCacheDefinition" Target="pivotCache/pivotCacheDefinition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pivotCacheDefinition" Target="pivotCache/pivotCacheDefinition6.xml"/><Relationship Id="rId35" Type="http://schemas.openxmlformats.org/officeDocument/2006/relationships/pivotCacheDefinition" Target="pivotCache/pivotCacheDefinition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[P2P_Process_Analysis_Excel.xlsx]SLA_Month_trend!PIVOT_Q1_Monthly_Trend_2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SLA Performance - Monthly Trend</a:t>
            </a:r>
          </a:p>
        </c:rich>
      </c:tx>
      <c:layout>
        <c:manualLayout>
          <c:xMode val="edge"/>
          <c:yMode val="edge"/>
          <c:x val="0.40083680391686055"/>
          <c:y val="4.74390847771594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 cap="rnd">
            <a:solidFill>
              <a:schemeClr val="accent6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 cap="rnd">
            <a:solidFill>
              <a:srgbClr val="C00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 cap="rnd">
            <a:solidFill>
              <a:srgbClr val="FCCA2A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rgbClr val="FCCA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2225" cap="rnd">
            <a:solidFill>
              <a:schemeClr val="accent1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FCCA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2225" cap="rnd">
            <a:solidFill>
              <a:srgbClr val="C00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2225" cap="rnd">
            <a:solidFill>
              <a:schemeClr val="accent6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2BA70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2225" cap="rnd">
            <a:solidFill>
              <a:schemeClr val="accent6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2BA70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2225" cap="rnd">
            <a:solidFill>
              <a:schemeClr val="accent1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FCCA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2225" cap="rnd">
            <a:solidFill>
              <a:srgbClr val="C00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2225" cap="rnd">
            <a:solidFill>
              <a:schemeClr val="accent6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2BA70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2225" cap="rnd">
            <a:solidFill>
              <a:schemeClr val="accent1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FCCA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2225" cap="rnd">
            <a:solidFill>
              <a:srgbClr val="C00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754528318029651E-2"/>
          <c:y val="0.17806795411570625"/>
          <c:w val="0.60933058816674812"/>
          <c:h val="0.62748413779655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SLA_Month_trend!$I$29:$I$31</c:f>
              <c:strCache>
                <c:ptCount val="1"/>
                <c:pt idx="0">
                  <c:v>Acceptable - Total Cases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SLA_Month_trend!$H$32:$H$46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SLA_Month_trend!$I$32:$I$46</c:f>
              <c:numCache>
                <c:formatCode>General</c:formatCode>
                <c:ptCount val="13"/>
                <c:pt idx="0">
                  <c:v>8004</c:v>
                </c:pt>
                <c:pt idx="1">
                  <c:v>8392</c:v>
                </c:pt>
                <c:pt idx="2">
                  <c:v>9584</c:v>
                </c:pt>
                <c:pt idx="3">
                  <c:v>8664</c:v>
                </c:pt>
                <c:pt idx="4">
                  <c:v>9072</c:v>
                </c:pt>
                <c:pt idx="5">
                  <c:v>8130</c:v>
                </c:pt>
                <c:pt idx="6">
                  <c:v>7578</c:v>
                </c:pt>
                <c:pt idx="7">
                  <c:v>7953</c:v>
                </c:pt>
                <c:pt idx="8">
                  <c:v>6361</c:v>
                </c:pt>
                <c:pt idx="9">
                  <c:v>7285</c:v>
                </c:pt>
                <c:pt idx="10">
                  <c:v>5867</c:v>
                </c:pt>
                <c:pt idx="11">
                  <c:v>676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C-465C-9EE8-2FFBF228AD2F}"/>
            </c:ext>
          </c:extLst>
        </c:ser>
        <c:ser>
          <c:idx val="2"/>
          <c:order val="2"/>
          <c:tx>
            <c:strRef>
              <c:f>SLA_Month_trend!$K$29:$K$31</c:f>
              <c:strCache>
                <c:ptCount val="1"/>
                <c:pt idx="0">
                  <c:v>Watchlist - Total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SLA_Month_trend!$H$32:$H$46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SLA_Month_trend!$K$32:$K$46</c:f>
              <c:numCache>
                <c:formatCode>General</c:formatCode>
                <c:ptCount val="13"/>
                <c:pt idx="0">
                  <c:v>2724</c:v>
                </c:pt>
                <c:pt idx="1">
                  <c:v>2945</c:v>
                </c:pt>
                <c:pt idx="2">
                  <c:v>2161</c:v>
                </c:pt>
                <c:pt idx="3">
                  <c:v>2625</c:v>
                </c:pt>
                <c:pt idx="4">
                  <c:v>2634</c:v>
                </c:pt>
                <c:pt idx="5">
                  <c:v>3004</c:v>
                </c:pt>
                <c:pt idx="6">
                  <c:v>3099</c:v>
                </c:pt>
                <c:pt idx="7">
                  <c:v>1934</c:v>
                </c:pt>
                <c:pt idx="8">
                  <c:v>2322</c:v>
                </c:pt>
                <c:pt idx="9">
                  <c:v>2657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3C-465C-9EE8-2FFBF228AD2F}"/>
            </c:ext>
          </c:extLst>
        </c:ser>
        <c:ser>
          <c:idx val="4"/>
          <c:order val="4"/>
          <c:tx>
            <c:strRef>
              <c:f>SLA_Month_trend!$M$29:$M$31</c:f>
              <c:strCache>
                <c:ptCount val="1"/>
                <c:pt idx="0">
                  <c:v>Overdue - Total Cases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SLA_Month_trend!$H$32:$H$46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SLA_Month_trend!$M$32:$M$46</c:f>
              <c:numCache>
                <c:formatCode>General</c:formatCode>
                <c:ptCount val="13"/>
                <c:pt idx="0">
                  <c:v>7630</c:v>
                </c:pt>
                <c:pt idx="1">
                  <c:v>6980</c:v>
                </c:pt>
                <c:pt idx="2">
                  <c:v>9700</c:v>
                </c:pt>
                <c:pt idx="3">
                  <c:v>8328</c:v>
                </c:pt>
                <c:pt idx="4">
                  <c:v>8389</c:v>
                </c:pt>
                <c:pt idx="5">
                  <c:v>8681</c:v>
                </c:pt>
                <c:pt idx="6">
                  <c:v>7512</c:v>
                </c:pt>
                <c:pt idx="7">
                  <c:v>7060</c:v>
                </c:pt>
                <c:pt idx="8">
                  <c:v>4185</c:v>
                </c:pt>
                <c:pt idx="9">
                  <c:v>1486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3C-465C-9EE8-2FFBF228A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81903328"/>
        <c:axId val="1681900808"/>
      </c:barChart>
      <c:lineChart>
        <c:grouping val="standard"/>
        <c:varyColors val="0"/>
        <c:ser>
          <c:idx val="1"/>
          <c:order val="1"/>
          <c:tx>
            <c:strRef>
              <c:f>SLA_Month_trend!$J$29:$J$31</c:f>
              <c:strCache>
                <c:ptCount val="1"/>
                <c:pt idx="0">
                  <c:v>Acceptable - Ratio %</c:v>
                </c:pt>
              </c:strCache>
            </c:strRef>
          </c:tx>
          <c:spPr>
            <a:ln w="2222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2BA7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SLA_Month_trend!$H$32:$H$46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SLA_Month_trend!$J$32:$J$46</c:f>
              <c:numCache>
                <c:formatCode>0.00</c:formatCode>
                <c:ptCount val="13"/>
                <c:pt idx="0">
                  <c:v>43.6</c:v>
                </c:pt>
                <c:pt idx="1">
                  <c:v>45.82</c:v>
                </c:pt>
                <c:pt idx="2">
                  <c:v>44.69</c:v>
                </c:pt>
                <c:pt idx="3">
                  <c:v>44.17</c:v>
                </c:pt>
                <c:pt idx="4">
                  <c:v>45.15</c:v>
                </c:pt>
                <c:pt idx="5">
                  <c:v>41.03</c:v>
                </c:pt>
                <c:pt idx="6">
                  <c:v>41.66</c:v>
                </c:pt>
                <c:pt idx="7">
                  <c:v>46.93</c:v>
                </c:pt>
                <c:pt idx="8">
                  <c:v>49.43</c:v>
                </c:pt>
                <c:pt idx="9">
                  <c:v>63.75</c:v>
                </c:pt>
                <c:pt idx="10">
                  <c:v>99.91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C-465C-9EE8-2FFBF228AD2F}"/>
            </c:ext>
          </c:extLst>
        </c:ser>
        <c:ser>
          <c:idx val="3"/>
          <c:order val="3"/>
          <c:tx>
            <c:strRef>
              <c:f>SLA_Month_trend!$L$29:$L$31</c:f>
              <c:strCache>
                <c:ptCount val="1"/>
                <c:pt idx="0">
                  <c:v>Watchlist - Ratio %</c:v>
                </c:pt>
              </c:strCache>
            </c:strRef>
          </c:tx>
          <c:spPr>
            <a:ln w="2222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CCA2A"/>
                </a:solidFill>
              </a:ln>
              <a:effectLst/>
            </c:spPr>
          </c:marker>
          <c:cat>
            <c:multiLvlStrRef>
              <c:f>SLA_Month_trend!$H$32:$H$46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SLA_Month_trend!$L$32:$L$46</c:f>
              <c:numCache>
                <c:formatCode>0.00</c:formatCode>
                <c:ptCount val="13"/>
                <c:pt idx="0">
                  <c:v>14.84</c:v>
                </c:pt>
                <c:pt idx="1">
                  <c:v>16.079999999999998</c:v>
                </c:pt>
                <c:pt idx="2">
                  <c:v>10.08</c:v>
                </c:pt>
                <c:pt idx="3">
                  <c:v>13.38</c:v>
                </c:pt>
                <c:pt idx="4">
                  <c:v>13.11</c:v>
                </c:pt>
                <c:pt idx="5">
                  <c:v>15.16</c:v>
                </c:pt>
                <c:pt idx="6">
                  <c:v>17.04</c:v>
                </c:pt>
                <c:pt idx="7">
                  <c:v>11.41</c:v>
                </c:pt>
                <c:pt idx="8">
                  <c:v>18.04</c:v>
                </c:pt>
                <c:pt idx="9">
                  <c:v>23.25</c:v>
                </c:pt>
                <c:pt idx="10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3C-465C-9EE8-2FFBF228AD2F}"/>
            </c:ext>
          </c:extLst>
        </c:ser>
        <c:ser>
          <c:idx val="5"/>
          <c:order val="5"/>
          <c:tx>
            <c:strRef>
              <c:f>SLA_Month_trend!$N$29:$N$31</c:f>
              <c:strCache>
                <c:ptCount val="1"/>
                <c:pt idx="0">
                  <c:v>Overdue - Ratio %</c:v>
                </c:pt>
              </c:strCache>
            </c:strRef>
          </c:tx>
          <c:spPr>
            <a:ln w="2222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multiLvlStrRef>
              <c:f>SLA_Month_trend!$H$32:$H$46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SLA_Month_trend!$N$32:$N$46</c:f>
              <c:numCache>
                <c:formatCode>0.00</c:formatCode>
                <c:ptCount val="13"/>
                <c:pt idx="0">
                  <c:v>41.56</c:v>
                </c:pt>
                <c:pt idx="1">
                  <c:v>38.11</c:v>
                </c:pt>
                <c:pt idx="2">
                  <c:v>45.23</c:v>
                </c:pt>
                <c:pt idx="3">
                  <c:v>42.45</c:v>
                </c:pt>
                <c:pt idx="4">
                  <c:v>41.75</c:v>
                </c:pt>
                <c:pt idx="5">
                  <c:v>43.81</c:v>
                </c:pt>
                <c:pt idx="6">
                  <c:v>41.3</c:v>
                </c:pt>
                <c:pt idx="7">
                  <c:v>41.66</c:v>
                </c:pt>
                <c:pt idx="8">
                  <c:v>32.520000000000003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3C-465C-9EE8-2FFBF228A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1294768"/>
        <c:axId val="1281294408"/>
      </c:lineChart>
      <c:catAx>
        <c:axId val="168190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00808"/>
        <c:crosses val="autoZero"/>
        <c:auto val="1"/>
        <c:lblAlgn val="ctr"/>
        <c:lblOffset val="100"/>
        <c:noMultiLvlLbl val="0"/>
      </c:catAx>
      <c:valAx>
        <c:axId val="168190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Number of Cases [psc]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03328"/>
        <c:crosses val="autoZero"/>
        <c:crossBetween val="between"/>
      </c:valAx>
      <c:valAx>
        <c:axId val="1281294408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Ratio</a:t>
                </a:r>
                <a:r>
                  <a:rPr lang="pl-PL" baseline="0"/>
                  <a:t> [%]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94768"/>
        <c:crosses val="max"/>
        <c:crossBetween val="between"/>
      </c:valAx>
      <c:catAx>
        <c:axId val="1281294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1294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17177832507168"/>
          <c:y val="0.3636522707388849"/>
          <c:w val="0.21282822167492829"/>
          <c:h val="0.44060075823855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accen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[P2P_Process_Analysis_Excel.xlsx]SLA_overview!PIVOT_Q1_Overview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SLA Performance vs Backlog Evaluation</a:t>
            </a:r>
          </a:p>
        </c:rich>
      </c:tx>
      <c:layout>
        <c:manualLayout>
          <c:xMode val="edge"/>
          <c:yMode val="edge"/>
          <c:x val="0.24687639446675591"/>
          <c:y val="4.9246734331618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51672229495903"/>
          <c:y val="0.16134692700984626"/>
          <c:w val="0.50952534621696877"/>
          <c:h val="0.615231896590960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SLA_overview!$I$3:$I$5</c:f>
              <c:strCache>
                <c:ptCount val="1"/>
                <c:pt idx="0">
                  <c:v>Closed Cases - Total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SLA_overview!$H$6:$H$10</c:f>
              <c:strCache>
                <c:ptCount val="5"/>
                <c:pt idx="0">
                  <c:v>75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&gt;150</c:v>
                </c:pt>
              </c:strCache>
            </c:strRef>
          </c:cat>
          <c:val>
            <c:numRef>
              <c:f>SLA_overview!$I$6:$I$10</c:f>
              <c:numCache>
                <c:formatCode>General</c:formatCode>
                <c:ptCount val="5"/>
                <c:pt idx="0">
                  <c:v>43900</c:v>
                </c:pt>
                <c:pt idx="1">
                  <c:v>13021</c:v>
                </c:pt>
                <c:pt idx="2">
                  <c:v>20304</c:v>
                </c:pt>
                <c:pt idx="3">
                  <c:v>7377</c:v>
                </c:pt>
                <c:pt idx="4">
                  <c:v>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B-42C9-885B-D69424972C77}"/>
            </c:ext>
          </c:extLst>
        </c:ser>
        <c:ser>
          <c:idx val="2"/>
          <c:order val="2"/>
          <c:tx>
            <c:strRef>
              <c:f>SLA_overview!$K$3:$K$5</c:f>
              <c:strCache>
                <c:ptCount val="1"/>
                <c:pt idx="0">
                  <c:v>Open Cases - Total Number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SLA_overview!$H$6:$H$10</c:f>
              <c:strCache>
                <c:ptCount val="5"/>
                <c:pt idx="0">
                  <c:v>75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&gt;150</c:v>
                </c:pt>
              </c:strCache>
            </c:strRef>
          </c:cat>
          <c:val>
            <c:numRef>
              <c:f>SLA_overview!$K$6:$K$10</c:f>
              <c:numCache>
                <c:formatCode>General</c:formatCode>
                <c:ptCount val="5"/>
                <c:pt idx="0">
                  <c:v>28309</c:v>
                </c:pt>
                <c:pt idx="1">
                  <c:v>5486</c:v>
                </c:pt>
                <c:pt idx="2">
                  <c:v>8374</c:v>
                </c:pt>
                <c:pt idx="3">
                  <c:v>4111</c:v>
                </c:pt>
                <c:pt idx="4">
                  <c:v>7424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B-42C9-885B-D69424972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33607808"/>
        <c:axId val="833611408"/>
      </c:barChart>
      <c:lineChart>
        <c:grouping val="standard"/>
        <c:varyColors val="0"/>
        <c:ser>
          <c:idx val="1"/>
          <c:order val="1"/>
          <c:tx>
            <c:strRef>
              <c:f>SLA_overview!$J$3:$J$5</c:f>
              <c:strCache>
                <c:ptCount val="1"/>
                <c:pt idx="0">
                  <c:v>Closed Cases - Ratio %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SLA_overview!$H$6:$H$10</c:f>
              <c:strCache>
                <c:ptCount val="5"/>
                <c:pt idx="0">
                  <c:v>75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&gt;150</c:v>
                </c:pt>
              </c:strCache>
            </c:strRef>
          </c:cat>
          <c:val>
            <c:numRef>
              <c:f>SLA_overview!$J$6:$J$10</c:f>
              <c:numCache>
                <c:formatCode>General</c:formatCode>
                <c:ptCount val="5"/>
                <c:pt idx="0">
                  <c:v>51.14</c:v>
                </c:pt>
                <c:pt idx="1">
                  <c:v>15.17</c:v>
                </c:pt>
                <c:pt idx="2">
                  <c:v>23.65</c:v>
                </c:pt>
                <c:pt idx="3">
                  <c:v>8.59</c:v>
                </c:pt>
                <c:pt idx="4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AB-42C9-885B-D69424972C77}"/>
            </c:ext>
          </c:extLst>
        </c:ser>
        <c:ser>
          <c:idx val="3"/>
          <c:order val="3"/>
          <c:tx>
            <c:strRef>
              <c:f>SLA_overview!$L$3:$L$5</c:f>
              <c:strCache>
                <c:ptCount val="1"/>
                <c:pt idx="0">
                  <c:v>Open Cases - Ratio %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strRef>
              <c:f>SLA_overview!$H$6:$H$10</c:f>
              <c:strCache>
                <c:ptCount val="5"/>
                <c:pt idx="0">
                  <c:v>75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&gt;150</c:v>
                </c:pt>
              </c:strCache>
            </c:strRef>
          </c:cat>
          <c:val>
            <c:numRef>
              <c:f>SLA_overview!$L$6:$L$10</c:f>
              <c:numCache>
                <c:formatCode>General</c:formatCode>
                <c:ptCount val="5"/>
                <c:pt idx="0">
                  <c:v>52.71</c:v>
                </c:pt>
                <c:pt idx="1">
                  <c:v>10.220000000000001</c:v>
                </c:pt>
                <c:pt idx="2">
                  <c:v>15.59</c:v>
                </c:pt>
                <c:pt idx="3">
                  <c:v>7.65</c:v>
                </c:pt>
                <c:pt idx="4">
                  <c:v>13.82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AB-42C9-885B-D69424972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614648"/>
        <c:axId val="833621128"/>
      </c:lineChart>
      <c:catAx>
        <c:axId val="833607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Days Duration Limits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3611408"/>
        <c:crosses val="autoZero"/>
        <c:auto val="1"/>
        <c:lblAlgn val="ctr"/>
        <c:lblOffset val="100"/>
        <c:noMultiLvlLbl val="0"/>
      </c:catAx>
      <c:valAx>
        <c:axId val="83361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 [psc]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3607808"/>
        <c:crosses val="autoZero"/>
        <c:crossBetween val="between"/>
      </c:valAx>
      <c:valAx>
        <c:axId val="8336211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Ratio within Cases Type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3614648"/>
        <c:crosses val="max"/>
        <c:crossBetween val="between"/>
      </c:valAx>
      <c:catAx>
        <c:axId val="833614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3621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[P2P_Process_Analysis_Excel.xlsx]SLA_Month_trend!PIVOT_Q1_Monthly_Trend_1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Closed vs Open Cases - Monthly Trend</a:t>
            </a:r>
          </a:p>
        </c:rich>
      </c:tx>
      <c:layout>
        <c:manualLayout>
          <c:xMode val="edge"/>
          <c:yMode val="edge"/>
          <c:x val="0.29057392626377809"/>
          <c:y val="3.8184653060769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  <a:alpha val="8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>
                <a:alpha val="8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  <a:alpha val="8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>
                <a:alpha val="8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5400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  <a:alpha val="8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5400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>
                <a:alpha val="8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181536443104891E-2"/>
          <c:y val="0.14831571930235604"/>
          <c:w val="0.56986762225828902"/>
          <c:h val="0.64029192153318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SLA_Month_trend!$I$4:$I$6</c:f>
              <c:strCache>
                <c:ptCount val="1"/>
                <c:pt idx="0">
                  <c:v>Closed Cases - Total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SLA_Month_trend!$H$7:$H$21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SLA_Month_trend!$I$7:$I$21</c:f>
              <c:numCache>
                <c:formatCode>General</c:formatCode>
                <c:ptCount val="13"/>
                <c:pt idx="0">
                  <c:v>18358</c:v>
                </c:pt>
                <c:pt idx="1">
                  <c:v>18317</c:v>
                </c:pt>
                <c:pt idx="2">
                  <c:v>21445</c:v>
                </c:pt>
                <c:pt idx="3">
                  <c:v>19617</c:v>
                </c:pt>
                <c:pt idx="4">
                  <c:v>20095</c:v>
                </c:pt>
                <c:pt idx="5">
                  <c:v>19815</c:v>
                </c:pt>
                <c:pt idx="6">
                  <c:v>18189</c:v>
                </c:pt>
                <c:pt idx="7">
                  <c:v>16947</c:v>
                </c:pt>
                <c:pt idx="8">
                  <c:v>12868</c:v>
                </c:pt>
                <c:pt idx="9">
                  <c:v>11428</c:v>
                </c:pt>
                <c:pt idx="10">
                  <c:v>5872</c:v>
                </c:pt>
                <c:pt idx="11">
                  <c:v>676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8-4DD6-B229-C0A2D77BC1BF}"/>
            </c:ext>
          </c:extLst>
        </c:ser>
        <c:ser>
          <c:idx val="2"/>
          <c:order val="2"/>
          <c:tx>
            <c:strRef>
              <c:f>SLA_Month_trend!$K$4:$K$6</c:f>
              <c:strCache>
                <c:ptCount val="1"/>
                <c:pt idx="0">
                  <c:v>Open Cases - Total Cases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SLA_Month_trend!$H$7:$H$21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SLA_Month_trend!$K$7:$K$21</c:f>
              <c:numCache>
                <c:formatCode>General</c:formatCode>
                <c:ptCount val="13"/>
                <c:pt idx="0">
                  <c:v>2893</c:v>
                </c:pt>
                <c:pt idx="1">
                  <c:v>2498</c:v>
                </c:pt>
                <c:pt idx="2">
                  <c:v>3262</c:v>
                </c:pt>
                <c:pt idx="3">
                  <c:v>2772</c:v>
                </c:pt>
                <c:pt idx="4">
                  <c:v>2928</c:v>
                </c:pt>
                <c:pt idx="5">
                  <c:v>2633</c:v>
                </c:pt>
                <c:pt idx="6">
                  <c:v>2939</c:v>
                </c:pt>
                <c:pt idx="7">
                  <c:v>3280</c:v>
                </c:pt>
                <c:pt idx="8">
                  <c:v>5049</c:v>
                </c:pt>
                <c:pt idx="9">
                  <c:v>10621</c:v>
                </c:pt>
                <c:pt idx="10">
                  <c:v>15347</c:v>
                </c:pt>
                <c:pt idx="11">
                  <c:v>13503</c:v>
                </c:pt>
                <c:pt idx="12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8-4DD6-B229-C0A2D77BC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92609104"/>
        <c:axId val="892604784"/>
      </c:barChart>
      <c:lineChart>
        <c:grouping val="standard"/>
        <c:varyColors val="0"/>
        <c:ser>
          <c:idx val="1"/>
          <c:order val="1"/>
          <c:tx>
            <c:strRef>
              <c:f>SLA_Month_trend!$J$4:$J$6</c:f>
              <c:strCache>
                <c:ptCount val="1"/>
                <c:pt idx="0">
                  <c:v>Closed Cases - Ratio %  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  <a:alpha val="8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multiLvlStrRef>
              <c:f>SLA_Month_trend!$H$7:$H$21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SLA_Month_trend!$J$7:$J$21</c:f>
              <c:numCache>
                <c:formatCode>0.00</c:formatCode>
                <c:ptCount val="13"/>
                <c:pt idx="0">
                  <c:v>86.38652298715354</c:v>
                </c:pt>
                <c:pt idx="1">
                  <c:v>87.999039154455915</c:v>
                </c:pt>
                <c:pt idx="2">
                  <c:v>86.797263933298268</c:v>
                </c:pt>
                <c:pt idx="3">
                  <c:v>87.618920005359769</c:v>
                </c:pt>
                <c:pt idx="4">
                  <c:v>87.282282934456845</c:v>
                </c:pt>
                <c:pt idx="5">
                  <c:v>88.270669992872428</c:v>
                </c:pt>
                <c:pt idx="6">
                  <c:v>86.089549413101096</c:v>
                </c:pt>
                <c:pt idx="7">
                  <c:v>83.784051020912642</c:v>
                </c:pt>
                <c:pt idx="8">
                  <c:v>71.820059161690011</c:v>
                </c:pt>
                <c:pt idx="9">
                  <c:v>51.830014966665154</c:v>
                </c:pt>
                <c:pt idx="10">
                  <c:v>27.673311654649133</c:v>
                </c:pt>
                <c:pt idx="11">
                  <c:v>4.7676140771563578</c:v>
                </c:pt>
                <c:pt idx="12">
                  <c:v>13.089005235602095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38-4DD6-B229-C0A2D77BC1BF}"/>
            </c:ext>
          </c:extLst>
        </c:ser>
        <c:ser>
          <c:idx val="3"/>
          <c:order val="3"/>
          <c:tx>
            <c:strRef>
              <c:f>SLA_Month_trend!$L$4:$L$6</c:f>
              <c:strCache>
                <c:ptCount val="1"/>
                <c:pt idx="0">
                  <c:v>Open Cases - Ratio %  </c:v>
                </c:pt>
              </c:strCache>
            </c:strRef>
          </c:tx>
          <c:spPr>
            <a:ln w="25400" cap="rnd">
              <a:solidFill>
                <a:schemeClr val="accent3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accent3">
                  <a:alpha val="8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multiLvlStrRef>
              <c:f>SLA_Month_trend!$H$7:$H$21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SLA_Month_trend!$L$7:$L$21</c:f>
              <c:numCache>
                <c:formatCode>0.00</c:formatCode>
                <c:ptCount val="13"/>
                <c:pt idx="0">
                  <c:v>13.613477012846454</c:v>
                </c:pt>
                <c:pt idx="1">
                  <c:v>12.000960845544078</c:v>
                </c:pt>
                <c:pt idx="2">
                  <c:v>13.202736066701744</c:v>
                </c:pt>
                <c:pt idx="3">
                  <c:v>12.381079994640226</c:v>
                </c:pt>
                <c:pt idx="4">
                  <c:v>12.717717065543152</c:v>
                </c:pt>
                <c:pt idx="5">
                  <c:v>11.729330007127583</c:v>
                </c:pt>
                <c:pt idx="6">
                  <c:v>13.910450586898902</c:v>
                </c:pt>
                <c:pt idx="7">
                  <c:v>16.215948979087358</c:v>
                </c:pt>
                <c:pt idx="8">
                  <c:v>28.179940838309985</c:v>
                </c:pt>
                <c:pt idx="9">
                  <c:v>48.169985033334846</c:v>
                </c:pt>
                <c:pt idx="10">
                  <c:v>72.326688345350874</c:v>
                </c:pt>
                <c:pt idx="11">
                  <c:v>95.232385922843648</c:v>
                </c:pt>
                <c:pt idx="12">
                  <c:v>86.910994764397913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38-4DD6-B229-C0A2D77BC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602624"/>
        <c:axId val="892607304"/>
      </c:lineChart>
      <c:catAx>
        <c:axId val="892609104"/>
        <c:scaling>
          <c:orientation val="minMax"/>
        </c:scaling>
        <c:delete val="0"/>
        <c:axPos val="b"/>
        <c:numFmt formatCode="mm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04784"/>
        <c:crosses val="autoZero"/>
        <c:auto val="1"/>
        <c:lblAlgn val="ctr"/>
        <c:lblOffset val="100"/>
        <c:noMultiLvlLbl val="0"/>
      </c:catAx>
      <c:valAx>
        <c:axId val="89260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 [psc]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09104"/>
        <c:crosses val="autoZero"/>
        <c:crossBetween val="between"/>
      </c:valAx>
      <c:valAx>
        <c:axId val="8926073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Ratio [%]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02624"/>
        <c:crosses val="max"/>
        <c:crossBetween val="between"/>
      </c:valAx>
      <c:catAx>
        <c:axId val="892602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2607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[P2P_Process_Analysis_Excel.xlsx]SLA_overview!PIVOT_Q1_Overview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SLA Performance vs Backlog Evaluation</a:t>
            </a:r>
          </a:p>
        </c:rich>
      </c:tx>
      <c:layout>
        <c:manualLayout>
          <c:xMode val="edge"/>
          <c:yMode val="edge"/>
          <c:x val="0.24687639446675591"/>
          <c:y val="4.9246734331618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0351672229495903"/>
          <c:y val="0.16134692700984626"/>
          <c:w val="0.50952534621696877"/>
          <c:h val="0.615231896590960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SLA_overview!$I$3:$I$5</c:f>
              <c:strCache>
                <c:ptCount val="1"/>
                <c:pt idx="0">
                  <c:v>Closed Cases - Total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SLA_overview!$H$6:$H$10</c:f>
              <c:strCache>
                <c:ptCount val="5"/>
                <c:pt idx="0">
                  <c:v>75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&gt;150</c:v>
                </c:pt>
              </c:strCache>
            </c:strRef>
          </c:cat>
          <c:val>
            <c:numRef>
              <c:f>SLA_overview!$I$6:$I$10</c:f>
              <c:numCache>
                <c:formatCode>General</c:formatCode>
                <c:ptCount val="5"/>
                <c:pt idx="0">
                  <c:v>43900</c:v>
                </c:pt>
                <c:pt idx="1">
                  <c:v>13021</c:v>
                </c:pt>
                <c:pt idx="2">
                  <c:v>20304</c:v>
                </c:pt>
                <c:pt idx="3">
                  <c:v>7377</c:v>
                </c:pt>
                <c:pt idx="4">
                  <c:v>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7-4F8B-8A2E-B8CC4684324F}"/>
            </c:ext>
          </c:extLst>
        </c:ser>
        <c:ser>
          <c:idx val="2"/>
          <c:order val="2"/>
          <c:tx>
            <c:strRef>
              <c:f>SLA_overview!$K$3:$K$5</c:f>
              <c:strCache>
                <c:ptCount val="1"/>
                <c:pt idx="0">
                  <c:v>Open Cases - Total Number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SLA_overview!$H$6:$H$10</c:f>
              <c:strCache>
                <c:ptCount val="5"/>
                <c:pt idx="0">
                  <c:v>75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&gt;150</c:v>
                </c:pt>
              </c:strCache>
            </c:strRef>
          </c:cat>
          <c:val>
            <c:numRef>
              <c:f>SLA_overview!$K$6:$K$10</c:f>
              <c:numCache>
                <c:formatCode>General</c:formatCode>
                <c:ptCount val="5"/>
                <c:pt idx="0">
                  <c:v>28309</c:v>
                </c:pt>
                <c:pt idx="1">
                  <c:v>5486</c:v>
                </c:pt>
                <c:pt idx="2">
                  <c:v>8374</c:v>
                </c:pt>
                <c:pt idx="3">
                  <c:v>4111</c:v>
                </c:pt>
                <c:pt idx="4">
                  <c:v>7424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17-4F8B-8A2E-B8CC46843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33607808"/>
        <c:axId val="833611408"/>
      </c:barChart>
      <c:lineChart>
        <c:grouping val="standard"/>
        <c:varyColors val="0"/>
        <c:ser>
          <c:idx val="1"/>
          <c:order val="1"/>
          <c:tx>
            <c:strRef>
              <c:f>SLA_overview!$J$3:$J$5</c:f>
              <c:strCache>
                <c:ptCount val="1"/>
                <c:pt idx="0">
                  <c:v>Closed Cases - Ratio %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SLA_overview!$H$6:$H$10</c:f>
              <c:strCache>
                <c:ptCount val="5"/>
                <c:pt idx="0">
                  <c:v>75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&gt;150</c:v>
                </c:pt>
              </c:strCache>
            </c:strRef>
          </c:cat>
          <c:val>
            <c:numRef>
              <c:f>SLA_overview!$J$6:$J$10</c:f>
              <c:numCache>
                <c:formatCode>General</c:formatCode>
                <c:ptCount val="5"/>
                <c:pt idx="0">
                  <c:v>51.14</c:v>
                </c:pt>
                <c:pt idx="1">
                  <c:v>15.17</c:v>
                </c:pt>
                <c:pt idx="2">
                  <c:v>23.65</c:v>
                </c:pt>
                <c:pt idx="3">
                  <c:v>8.59</c:v>
                </c:pt>
                <c:pt idx="4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17-4F8B-8A2E-B8CC4684324F}"/>
            </c:ext>
          </c:extLst>
        </c:ser>
        <c:ser>
          <c:idx val="3"/>
          <c:order val="3"/>
          <c:tx>
            <c:strRef>
              <c:f>SLA_overview!$L$3:$L$5</c:f>
              <c:strCache>
                <c:ptCount val="1"/>
                <c:pt idx="0">
                  <c:v>Open Cases - Ratio %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strRef>
              <c:f>SLA_overview!$H$6:$H$10</c:f>
              <c:strCache>
                <c:ptCount val="5"/>
                <c:pt idx="0">
                  <c:v>75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&gt;150</c:v>
                </c:pt>
              </c:strCache>
            </c:strRef>
          </c:cat>
          <c:val>
            <c:numRef>
              <c:f>SLA_overview!$L$6:$L$10</c:f>
              <c:numCache>
                <c:formatCode>General</c:formatCode>
                <c:ptCount val="5"/>
                <c:pt idx="0">
                  <c:v>52.71</c:v>
                </c:pt>
                <c:pt idx="1">
                  <c:v>10.220000000000001</c:v>
                </c:pt>
                <c:pt idx="2">
                  <c:v>15.59</c:v>
                </c:pt>
                <c:pt idx="3">
                  <c:v>7.65</c:v>
                </c:pt>
                <c:pt idx="4">
                  <c:v>13.82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17-4F8B-8A2E-B8CC46843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614648"/>
        <c:axId val="833621128"/>
      </c:lineChart>
      <c:catAx>
        <c:axId val="833607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Days Duration Limits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3611408"/>
        <c:crosses val="autoZero"/>
        <c:auto val="1"/>
        <c:lblAlgn val="ctr"/>
        <c:lblOffset val="100"/>
        <c:noMultiLvlLbl val="0"/>
      </c:catAx>
      <c:valAx>
        <c:axId val="83361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 [psc]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3607808"/>
        <c:crosses val="autoZero"/>
        <c:crossBetween val="between"/>
      </c:valAx>
      <c:valAx>
        <c:axId val="8336211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Ratio within Cases Type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3614648"/>
        <c:crosses val="max"/>
        <c:crossBetween val="between"/>
      </c:valAx>
      <c:catAx>
        <c:axId val="833614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3621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[P2P_Process_Analysis_Excel.xlsx]SLA_Month_trend!PIVOT_Q1_Monthly_Trend_1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Closed vs Open Cases - Monthly Trend</a:t>
            </a:r>
          </a:p>
        </c:rich>
      </c:tx>
      <c:layout>
        <c:manualLayout>
          <c:xMode val="edge"/>
          <c:yMode val="edge"/>
          <c:x val="0.29057392626377809"/>
          <c:y val="3.8184653060769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  <a:alpha val="8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5400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>
                <a:alpha val="8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181536443104891E-2"/>
          <c:y val="0.14831571930235604"/>
          <c:w val="0.56986762225828902"/>
          <c:h val="0.64029192153318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SLA_Month_trend!$I$4:$I$6</c:f>
              <c:strCache>
                <c:ptCount val="1"/>
                <c:pt idx="0">
                  <c:v>Closed Cases - Total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SLA_Month_trend!$H$7:$H$21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SLA_Month_trend!$I$7:$I$21</c:f>
              <c:numCache>
                <c:formatCode>General</c:formatCode>
                <c:ptCount val="13"/>
                <c:pt idx="0">
                  <c:v>18358</c:v>
                </c:pt>
                <c:pt idx="1">
                  <c:v>18317</c:v>
                </c:pt>
                <c:pt idx="2">
                  <c:v>21445</c:v>
                </c:pt>
                <c:pt idx="3">
                  <c:v>19617</c:v>
                </c:pt>
                <c:pt idx="4">
                  <c:v>20095</c:v>
                </c:pt>
                <c:pt idx="5">
                  <c:v>19815</c:v>
                </c:pt>
                <c:pt idx="6">
                  <c:v>18189</c:v>
                </c:pt>
                <c:pt idx="7">
                  <c:v>16947</c:v>
                </c:pt>
                <c:pt idx="8">
                  <c:v>12868</c:v>
                </c:pt>
                <c:pt idx="9">
                  <c:v>11428</c:v>
                </c:pt>
                <c:pt idx="10">
                  <c:v>5872</c:v>
                </c:pt>
                <c:pt idx="11">
                  <c:v>676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E7C-A6E7-1B06DD3A3F05}"/>
            </c:ext>
          </c:extLst>
        </c:ser>
        <c:ser>
          <c:idx val="2"/>
          <c:order val="2"/>
          <c:tx>
            <c:strRef>
              <c:f>SLA_Month_trend!$K$4:$K$6</c:f>
              <c:strCache>
                <c:ptCount val="1"/>
                <c:pt idx="0">
                  <c:v>Open Cases - Total Cases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SLA_Month_trend!$H$7:$H$21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SLA_Month_trend!$K$7:$K$21</c:f>
              <c:numCache>
                <c:formatCode>General</c:formatCode>
                <c:ptCount val="13"/>
                <c:pt idx="0">
                  <c:v>2893</c:v>
                </c:pt>
                <c:pt idx="1">
                  <c:v>2498</c:v>
                </c:pt>
                <c:pt idx="2">
                  <c:v>3262</c:v>
                </c:pt>
                <c:pt idx="3">
                  <c:v>2772</c:v>
                </c:pt>
                <c:pt idx="4">
                  <c:v>2928</c:v>
                </c:pt>
                <c:pt idx="5">
                  <c:v>2633</c:v>
                </c:pt>
                <c:pt idx="6">
                  <c:v>2939</c:v>
                </c:pt>
                <c:pt idx="7">
                  <c:v>3280</c:v>
                </c:pt>
                <c:pt idx="8">
                  <c:v>5049</c:v>
                </c:pt>
                <c:pt idx="9">
                  <c:v>10621</c:v>
                </c:pt>
                <c:pt idx="10">
                  <c:v>15347</c:v>
                </c:pt>
                <c:pt idx="11">
                  <c:v>13503</c:v>
                </c:pt>
                <c:pt idx="12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E7C-A6E7-1B06DD3A3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92609104"/>
        <c:axId val="892604784"/>
      </c:barChart>
      <c:lineChart>
        <c:grouping val="standard"/>
        <c:varyColors val="0"/>
        <c:ser>
          <c:idx val="1"/>
          <c:order val="1"/>
          <c:tx>
            <c:strRef>
              <c:f>SLA_Month_trend!$J$4:$J$6</c:f>
              <c:strCache>
                <c:ptCount val="1"/>
                <c:pt idx="0">
                  <c:v>Closed Cases - Ratio %  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  <a:alpha val="8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multiLvlStrRef>
              <c:f>SLA_Month_trend!$H$7:$H$21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SLA_Month_trend!$J$7:$J$21</c:f>
              <c:numCache>
                <c:formatCode>0.00</c:formatCode>
                <c:ptCount val="13"/>
                <c:pt idx="0">
                  <c:v>86.38652298715354</c:v>
                </c:pt>
                <c:pt idx="1">
                  <c:v>87.999039154455915</c:v>
                </c:pt>
                <c:pt idx="2">
                  <c:v>86.797263933298268</c:v>
                </c:pt>
                <c:pt idx="3">
                  <c:v>87.618920005359769</c:v>
                </c:pt>
                <c:pt idx="4">
                  <c:v>87.282282934456845</c:v>
                </c:pt>
                <c:pt idx="5">
                  <c:v>88.270669992872428</c:v>
                </c:pt>
                <c:pt idx="6">
                  <c:v>86.089549413101096</c:v>
                </c:pt>
                <c:pt idx="7">
                  <c:v>83.784051020912642</c:v>
                </c:pt>
                <c:pt idx="8">
                  <c:v>71.820059161690011</c:v>
                </c:pt>
                <c:pt idx="9">
                  <c:v>51.830014966665154</c:v>
                </c:pt>
                <c:pt idx="10">
                  <c:v>27.673311654649133</c:v>
                </c:pt>
                <c:pt idx="11">
                  <c:v>4.7676140771563578</c:v>
                </c:pt>
                <c:pt idx="12">
                  <c:v>13.089005235602095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FD-4E7C-A6E7-1B06DD3A3F05}"/>
            </c:ext>
          </c:extLst>
        </c:ser>
        <c:ser>
          <c:idx val="3"/>
          <c:order val="3"/>
          <c:tx>
            <c:strRef>
              <c:f>SLA_Month_trend!$L$4:$L$6</c:f>
              <c:strCache>
                <c:ptCount val="1"/>
                <c:pt idx="0">
                  <c:v>Open Cases - Ratio %  </c:v>
                </c:pt>
              </c:strCache>
            </c:strRef>
          </c:tx>
          <c:spPr>
            <a:ln w="25400" cap="rnd">
              <a:solidFill>
                <a:schemeClr val="accent3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accent3">
                  <a:alpha val="8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multiLvlStrRef>
              <c:f>SLA_Month_trend!$H$7:$H$21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SLA_Month_trend!$L$7:$L$21</c:f>
              <c:numCache>
                <c:formatCode>0.00</c:formatCode>
                <c:ptCount val="13"/>
                <c:pt idx="0">
                  <c:v>13.613477012846454</c:v>
                </c:pt>
                <c:pt idx="1">
                  <c:v>12.000960845544078</c:v>
                </c:pt>
                <c:pt idx="2">
                  <c:v>13.202736066701744</c:v>
                </c:pt>
                <c:pt idx="3">
                  <c:v>12.381079994640226</c:v>
                </c:pt>
                <c:pt idx="4">
                  <c:v>12.717717065543152</c:v>
                </c:pt>
                <c:pt idx="5">
                  <c:v>11.729330007127583</c:v>
                </c:pt>
                <c:pt idx="6">
                  <c:v>13.910450586898902</c:v>
                </c:pt>
                <c:pt idx="7">
                  <c:v>16.215948979087358</c:v>
                </c:pt>
                <c:pt idx="8">
                  <c:v>28.179940838309985</c:v>
                </c:pt>
                <c:pt idx="9">
                  <c:v>48.169985033334846</c:v>
                </c:pt>
                <c:pt idx="10">
                  <c:v>72.326688345350874</c:v>
                </c:pt>
                <c:pt idx="11">
                  <c:v>95.232385922843648</c:v>
                </c:pt>
                <c:pt idx="12">
                  <c:v>86.910994764397913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FD-4E7C-A6E7-1B06DD3A3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602624"/>
        <c:axId val="892607304"/>
      </c:lineChart>
      <c:catAx>
        <c:axId val="892609104"/>
        <c:scaling>
          <c:orientation val="minMax"/>
        </c:scaling>
        <c:delete val="0"/>
        <c:axPos val="b"/>
        <c:numFmt formatCode="mm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04784"/>
        <c:crosses val="autoZero"/>
        <c:auto val="1"/>
        <c:lblAlgn val="ctr"/>
        <c:lblOffset val="100"/>
        <c:noMultiLvlLbl val="0"/>
      </c:catAx>
      <c:valAx>
        <c:axId val="89260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 [psc]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09104"/>
        <c:crosses val="autoZero"/>
        <c:crossBetween val="between"/>
      </c:valAx>
      <c:valAx>
        <c:axId val="8926073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Ratio [%]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02624"/>
        <c:crosses val="max"/>
        <c:crossBetween val="between"/>
      </c:valAx>
      <c:catAx>
        <c:axId val="892602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2607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[P2P_Process_Analysis_Excel.xlsx]SLA_Month_trend!PIVOT_Q1_Monthly_Trend_2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SLA Performance - Monthly Trend</a:t>
            </a:r>
          </a:p>
        </c:rich>
      </c:tx>
      <c:layout>
        <c:manualLayout>
          <c:xMode val="edge"/>
          <c:yMode val="edge"/>
          <c:x val="0.40083680391686055"/>
          <c:y val="4.74390847771594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 cap="rnd">
            <a:solidFill>
              <a:schemeClr val="accent6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 cap="rnd">
            <a:solidFill>
              <a:srgbClr val="C00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 cap="rnd">
            <a:solidFill>
              <a:srgbClr val="FCCA2A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rgbClr val="FCCA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FCCA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rgbClr val="C00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6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2BA70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754528318029651E-2"/>
          <c:y val="0.17806795411570625"/>
          <c:w val="0.62371409015513435"/>
          <c:h val="0.62748413779655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SLA_Month_trend!$I$29:$I$31</c:f>
              <c:strCache>
                <c:ptCount val="1"/>
                <c:pt idx="0">
                  <c:v>Acceptable - Total Cases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SLA_Month_trend!$H$32:$H$46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SLA_Month_trend!$I$32:$I$46</c:f>
              <c:numCache>
                <c:formatCode>General</c:formatCode>
                <c:ptCount val="13"/>
                <c:pt idx="0">
                  <c:v>8004</c:v>
                </c:pt>
                <c:pt idx="1">
                  <c:v>8392</c:v>
                </c:pt>
                <c:pt idx="2">
                  <c:v>9584</c:v>
                </c:pt>
                <c:pt idx="3">
                  <c:v>8664</c:v>
                </c:pt>
                <c:pt idx="4">
                  <c:v>9072</c:v>
                </c:pt>
                <c:pt idx="5">
                  <c:v>8130</c:v>
                </c:pt>
                <c:pt idx="6">
                  <c:v>7578</c:v>
                </c:pt>
                <c:pt idx="7">
                  <c:v>7953</c:v>
                </c:pt>
                <c:pt idx="8">
                  <c:v>6361</c:v>
                </c:pt>
                <c:pt idx="9">
                  <c:v>7285</c:v>
                </c:pt>
                <c:pt idx="10">
                  <c:v>5867</c:v>
                </c:pt>
                <c:pt idx="11">
                  <c:v>676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6-486D-AF09-183FAA3322ED}"/>
            </c:ext>
          </c:extLst>
        </c:ser>
        <c:ser>
          <c:idx val="2"/>
          <c:order val="2"/>
          <c:tx>
            <c:strRef>
              <c:f>SLA_Month_trend!$K$29:$K$31</c:f>
              <c:strCache>
                <c:ptCount val="1"/>
                <c:pt idx="0">
                  <c:v>Watchlist - Total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SLA_Month_trend!$H$32:$H$46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SLA_Month_trend!$K$32:$K$46</c:f>
              <c:numCache>
                <c:formatCode>General</c:formatCode>
                <c:ptCount val="13"/>
                <c:pt idx="0">
                  <c:v>2724</c:v>
                </c:pt>
                <c:pt idx="1">
                  <c:v>2945</c:v>
                </c:pt>
                <c:pt idx="2">
                  <c:v>2161</c:v>
                </c:pt>
                <c:pt idx="3">
                  <c:v>2625</c:v>
                </c:pt>
                <c:pt idx="4">
                  <c:v>2634</c:v>
                </c:pt>
                <c:pt idx="5">
                  <c:v>3004</c:v>
                </c:pt>
                <c:pt idx="6">
                  <c:v>3099</c:v>
                </c:pt>
                <c:pt idx="7">
                  <c:v>1934</c:v>
                </c:pt>
                <c:pt idx="8">
                  <c:v>2322</c:v>
                </c:pt>
                <c:pt idx="9">
                  <c:v>2657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B6-486D-AF09-183FAA3322ED}"/>
            </c:ext>
          </c:extLst>
        </c:ser>
        <c:ser>
          <c:idx val="4"/>
          <c:order val="4"/>
          <c:tx>
            <c:strRef>
              <c:f>SLA_Month_trend!$M$29:$M$31</c:f>
              <c:strCache>
                <c:ptCount val="1"/>
                <c:pt idx="0">
                  <c:v>Overdue - Total Cases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SLA_Month_trend!$H$32:$H$46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SLA_Month_trend!$M$32:$M$46</c:f>
              <c:numCache>
                <c:formatCode>General</c:formatCode>
                <c:ptCount val="13"/>
                <c:pt idx="0">
                  <c:v>7630</c:v>
                </c:pt>
                <c:pt idx="1">
                  <c:v>6980</c:v>
                </c:pt>
                <c:pt idx="2">
                  <c:v>9700</c:v>
                </c:pt>
                <c:pt idx="3">
                  <c:v>8328</c:v>
                </c:pt>
                <c:pt idx="4">
                  <c:v>8389</c:v>
                </c:pt>
                <c:pt idx="5">
                  <c:v>8681</c:v>
                </c:pt>
                <c:pt idx="6">
                  <c:v>7512</c:v>
                </c:pt>
                <c:pt idx="7">
                  <c:v>7060</c:v>
                </c:pt>
                <c:pt idx="8">
                  <c:v>4185</c:v>
                </c:pt>
                <c:pt idx="9">
                  <c:v>1486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55E-4C5A-8856-086BB8751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81903328"/>
        <c:axId val="1681900808"/>
      </c:barChart>
      <c:lineChart>
        <c:grouping val="standard"/>
        <c:varyColors val="0"/>
        <c:ser>
          <c:idx val="1"/>
          <c:order val="1"/>
          <c:tx>
            <c:strRef>
              <c:f>SLA_Month_trend!$J$29:$J$31</c:f>
              <c:strCache>
                <c:ptCount val="1"/>
                <c:pt idx="0">
                  <c:v>Acceptable - Ratio %</c:v>
                </c:pt>
              </c:strCache>
            </c:strRef>
          </c:tx>
          <c:spPr>
            <a:ln w="2222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2BA7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SLA_Month_trend!$H$32:$H$46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SLA_Month_trend!$J$32:$J$46</c:f>
              <c:numCache>
                <c:formatCode>0.00</c:formatCode>
                <c:ptCount val="13"/>
                <c:pt idx="0">
                  <c:v>43.6</c:v>
                </c:pt>
                <c:pt idx="1">
                  <c:v>45.82</c:v>
                </c:pt>
                <c:pt idx="2">
                  <c:v>44.69</c:v>
                </c:pt>
                <c:pt idx="3">
                  <c:v>44.17</c:v>
                </c:pt>
                <c:pt idx="4">
                  <c:v>45.15</c:v>
                </c:pt>
                <c:pt idx="5">
                  <c:v>41.03</c:v>
                </c:pt>
                <c:pt idx="6">
                  <c:v>41.66</c:v>
                </c:pt>
                <c:pt idx="7">
                  <c:v>46.93</c:v>
                </c:pt>
                <c:pt idx="8">
                  <c:v>49.43</c:v>
                </c:pt>
                <c:pt idx="9">
                  <c:v>63.75</c:v>
                </c:pt>
                <c:pt idx="10">
                  <c:v>99.91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B6-486D-AF09-183FAA3322ED}"/>
            </c:ext>
          </c:extLst>
        </c:ser>
        <c:ser>
          <c:idx val="3"/>
          <c:order val="3"/>
          <c:tx>
            <c:strRef>
              <c:f>SLA_Month_trend!$L$29:$L$31</c:f>
              <c:strCache>
                <c:ptCount val="1"/>
                <c:pt idx="0">
                  <c:v>Watchlist - Ratio %</c:v>
                </c:pt>
              </c:strCache>
            </c:strRef>
          </c:tx>
          <c:spPr>
            <a:ln w="2222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CCA2A"/>
                </a:solidFill>
              </a:ln>
              <a:effectLst/>
            </c:spPr>
          </c:marker>
          <c:cat>
            <c:multiLvlStrRef>
              <c:f>SLA_Month_trend!$H$32:$H$46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SLA_Month_trend!$L$32:$L$46</c:f>
              <c:numCache>
                <c:formatCode>0.00</c:formatCode>
                <c:ptCount val="13"/>
                <c:pt idx="0">
                  <c:v>14.84</c:v>
                </c:pt>
                <c:pt idx="1">
                  <c:v>16.079999999999998</c:v>
                </c:pt>
                <c:pt idx="2">
                  <c:v>10.08</c:v>
                </c:pt>
                <c:pt idx="3">
                  <c:v>13.38</c:v>
                </c:pt>
                <c:pt idx="4">
                  <c:v>13.11</c:v>
                </c:pt>
                <c:pt idx="5">
                  <c:v>15.16</c:v>
                </c:pt>
                <c:pt idx="6">
                  <c:v>17.04</c:v>
                </c:pt>
                <c:pt idx="7">
                  <c:v>11.41</c:v>
                </c:pt>
                <c:pt idx="8">
                  <c:v>18.04</c:v>
                </c:pt>
                <c:pt idx="9">
                  <c:v>23.25</c:v>
                </c:pt>
                <c:pt idx="10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55E-4C5A-8856-086BB8751F49}"/>
            </c:ext>
          </c:extLst>
        </c:ser>
        <c:ser>
          <c:idx val="5"/>
          <c:order val="5"/>
          <c:tx>
            <c:strRef>
              <c:f>SLA_Month_trend!$N$29:$N$31</c:f>
              <c:strCache>
                <c:ptCount val="1"/>
                <c:pt idx="0">
                  <c:v>Overdue - Ratio %</c:v>
                </c:pt>
              </c:strCache>
            </c:strRef>
          </c:tx>
          <c:spPr>
            <a:ln w="2222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multiLvlStrRef>
              <c:f>SLA_Month_trend!$H$32:$H$46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SLA_Month_trend!$N$32:$N$46</c:f>
              <c:numCache>
                <c:formatCode>0.00</c:formatCode>
                <c:ptCount val="13"/>
                <c:pt idx="0">
                  <c:v>41.56</c:v>
                </c:pt>
                <c:pt idx="1">
                  <c:v>38.11</c:v>
                </c:pt>
                <c:pt idx="2">
                  <c:v>45.23</c:v>
                </c:pt>
                <c:pt idx="3">
                  <c:v>42.45</c:v>
                </c:pt>
                <c:pt idx="4">
                  <c:v>41.75</c:v>
                </c:pt>
                <c:pt idx="5">
                  <c:v>43.81</c:v>
                </c:pt>
                <c:pt idx="6">
                  <c:v>41.3</c:v>
                </c:pt>
                <c:pt idx="7">
                  <c:v>41.66</c:v>
                </c:pt>
                <c:pt idx="8">
                  <c:v>32.520000000000003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55E-4C5A-8856-086BB8751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1294768"/>
        <c:axId val="1281294408"/>
      </c:lineChart>
      <c:catAx>
        <c:axId val="168190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00808"/>
        <c:crosses val="autoZero"/>
        <c:auto val="1"/>
        <c:lblAlgn val="ctr"/>
        <c:lblOffset val="100"/>
        <c:noMultiLvlLbl val="0"/>
      </c:catAx>
      <c:valAx>
        <c:axId val="168190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Number of Cases [psc]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03328"/>
        <c:crosses val="autoZero"/>
        <c:crossBetween val="between"/>
      </c:valAx>
      <c:valAx>
        <c:axId val="1281294408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Ratio</a:t>
                </a:r>
                <a:r>
                  <a:rPr lang="pl-PL" baseline="0"/>
                  <a:t> [%]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94768"/>
        <c:crosses val="max"/>
        <c:crossBetween val="between"/>
      </c:valAx>
      <c:catAx>
        <c:axId val="1281294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1294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3408098365299"/>
          <c:y val="0.3636522707388849"/>
          <c:w val="0.18565923055816544"/>
          <c:h val="0.44060075823855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accen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[P2P_Process_Analysis_Excel.xlsx]SLA_Week_trend!PIVOT_Q1_Weekly_Trend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rgbClr val="003366"/>
                </a:solidFill>
              </a:rPr>
              <a:t>Closed vs Open Cases - Weekly Trend</a:t>
            </a:r>
          </a:p>
        </c:rich>
      </c:tx>
      <c:layout>
        <c:manualLayout>
          <c:xMode val="edge"/>
          <c:yMode val="edge"/>
          <c:x val="0.30992988208296324"/>
          <c:y val="4.03014201401498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  <a:alpha val="8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5400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>
                <a:lumMod val="75000"/>
                <a:alpha val="8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180084719669768E-2"/>
          <c:y val="0.14324865006406198"/>
          <c:w val="0.55709943064126854"/>
          <c:h val="0.647863647580244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SLA_Week_trend!$K$4:$K$6</c:f>
              <c:strCache>
                <c:ptCount val="1"/>
                <c:pt idx="0">
                  <c:v>Closed Cases - Total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SLA_Week_trend!$J$7:$J$22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SLA_Week_trend!$K$7:$K$22</c:f>
              <c:numCache>
                <c:formatCode>General</c:formatCode>
                <c:ptCount val="14"/>
                <c:pt idx="0">
                  <c:v>1065</c:v>
                </c:pt>
                <c:pt idx="1">
                  <c:v>2274</c:v>
                </c:pt>
                <c:pt idx="2">
                  <c:v>1701</c:v>
                </c:pt>
                <c:pt idx="3">
                  <c:v>1672</c:v>
                </c:pt>
                <c:pt idx="4">
                  <c:v>1533</c:v>
                </c:pt>
                <c:pt idx="5">
                  <c:v>1188</c:v>
                </c:pt>
                <c:pt idx="6">
                  <c:v>929</c:v>
                </c:pt>
                <c:pt idx="7">
                  <c:v>266</c:v>
                </c:pt>
                <c:pt idx="8">
                  <c:v>243</c:v>
                </c:pt>
                <c:pt idx="9">
                  <c:v>162</c:v>
                </c:pt>
                <c:pt idx="10">
                  <c:v>5</c:v>
                </c:pt>
                <c:pt idx="11">
                  <c:v>14</c:v>
                </c:pt>
                <c:pt idx="12">
                  <c:v>35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3-419E-8E13-ECE88E4FC6C4}"/>
            </c:ext>
          </c:extLst>
        </c:ser>
        <c:ser>
          <c:idx val="2"/>
          <c:order val="2"/>
          <c:tx>
            <c:strRef>
              <c:f>SLA_Week_trend!$M$4:$M$6</c:f>
              <c:strCache>
                <c:ptCount val="1"/>
                <c:pt idx="0">
                  <c:v>Open Cases - Total Cases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SLA_Week_trend!$J$7:$J$22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SLA_Week_trend!$M$7:$M$22</c:f>
              <c:numCache>
                <c:formatCode>General</c:formatCode>
                <c:ptCount val="14"/>
                <c:pt idx="0">
                  <c:v>1019</c:v>
                </c:pt>
                <c:pt idx="1">
                  <c:v>2494</c:v>
                </c:pt>
                <c:pt idx="2">
                  <c:v>2664</c:v>
                </c:pt>
                <c:pt idx="3">
                  <c:v>3609</c:v>
                </c:pt>
                <c:pt idx="4">
                  <c:v>3273</c:v>
                </c:pt>
                <c:pt idx="5">
                  <c:v>3343</c:v>
                </c:pt>
                <c:pt idx="6">
                  <c:v>4284</c:v>
                </c:pt>
                <c:pt idx="7">
                  <c:v>4132</c:v>
                </c:pt>
                <c:pt idx="8">
                  <c:v>4885</c:v>
                </c:pt>
                <c:pt idx="9">
                  <c:v>4107</c:v>
                </c:pt>
                <c:pt idx="10">
                  <c:v>245</c:v>
                </c:pt>
                <c:pt idx="11">
                  <c:v>90</c:v>
                </c:pt>
                <c:pt idx="12">
                  <c:v>183</c:v>
                </c:pt>
                <c:pt idx="1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73-419E-8E13-ECE88E4FC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77559704"/>
        <c:axId val="2077562944"/>
      </c:barChart>
      <c:lineChart>
        <c:grouping val="standard"/>
        <c:varyColors val="0"/>
        <c:ser>
          <c:idx val="1"/>
          <c:order val="1"/>
          <c:tx>
            <c:strRef>
              <c:f>SLA_Week_trend!$L$4:$L$6</c:f>
              <c:strCache>
                <c:ptCount val="1"/>
                <c:pt idx="0">
                  <c:v>Closed Cases - Ratio %  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  <a:alpha val="8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multiLvlStrRef>
              <c:f>SLA_Week_trend!$J$7:$J$22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SLA_Week_trend!$L$7:$L$22</c:f>
              <c:numCache>
                <c:formatCode>0.00</c:formatCode>
                <c:ptCount val="14"/>
                <c:pt idx="0">
                  <c:v>51.103646833013435</c:v>
                </c:pt>
                <c:pt idx="1">
                  <c:v>47.692953020134226</c:v>
                </c:pt>
                <c:pt idx="2">
                  <c:v>38.96907216494845</c:v>
                </c:pt>
                <c:pt idx="3">
                  <c:v>31.660670327589472</c:v>
                </c:pt>
                <c:pt idx="4">
                  <c:v>31.897627965043696</c:v>
                </c:pt>
                <c:pt idx="5">
                  <c:v>26.219377620834251</c:v>
                </c:pt>
                <c:pt idx="6">
                  <c:v>17.82083253404949</c:v>
                </c:pt>
                <c:pt idx="7">
                  <c:v>6.0482037289677129</c:v>
                </c:pt>
                <c:pt idx="8">
                  <c:v>4.7386895475819033</c:v>
                </c:pt>
                <c:pt idx="9">
                  <c:v>3.7947997189037244</c:v>
                </c:pt>
                <c:pt idx="10">
                  <c:v>2</c:v>
                </c:pt>
                <c:pt idx="11">
                  <c:v>13.461538461538462</c:v>
                </c:pt>
                <c:pt idx="12">
                  <c:v>16.055045871559631</c:v>
                </c:pt>
                <c:pt idx="13">
                  <c:v>1.6666666666666667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73-419E-8E13-ECE88E4FC6C4}"/>
            </c:ext>
          </c:extLst>
        </c:ser>
        <c:ser>
          <c:idx val="3"/>
          <c:order val="3"/>
          <c:tx>
            <c:strRef>
              <c:f>SLA_Week_trend!$N$4:$N$6</c:f>
              <c:strCache>
                <c:ptCount val="1"/>
                <c:pt idx="0">
                  <c:v>Open Cases - Ratio %  </c:v>
                </c:pt>
              </c:strCache>
            </c:strRef>
          </c:tx>
          <c:spPr>
            <a:ln w="25400" cap="rnd">
              <a:solidFill>
                <a:schemeClr val="accent3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accent3">
                  <a:lumMod val="75000"/>
                  <a:alpha val="8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multiLvlStrRef>
              <c:f>SLA_Week_trend!$J$7:$J$22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SLA_Week_trend!$N$7:$N$22</c:f>
              <c:numCache>
                <c:formatCode>0.00</c:formatCode>
                <c:ptCount val="14"/>
                <c:pt idx="0">
                  <c:v>48.896353166986565</c:v>
                </c:pt>
                <c:pt idx="1">
                  <c:v>52.307046979865774</c:v>
                </c:pt>
                <c:pt idx="2">
                  <c:v>61.030927835051543</c:v>
                </c:pt>
                <c:pt idx="3">
                  <c:v>68.339329672410528</c:v>
                </c:pt>
                <c:pt idx="4">
                  <c:v>68.102372034956304</c:v>
                </c:pt>
                <c:pt idx="5">
                  <c:v>73.780622379165749</c:v>
                </c:pt>
                <c:pt idx="6">
                  <c:v>82.179167465950513</c:v>
                </c:pt>
                <c:pt idx="7">
                  <c:v>93.951796271032293</c:v>
                </c:pt>
                <c:pt idx="8">
                  <c:v>95.261310452418101</c:v>
                </c:pt>
                <c:pt idx="9">
                  <c:v>96.205200281096282</c:v>
                </c:pt>
                <c:pt idx="10">
                  <c:v>98</c:v>
                </c:pt>
                <c:pt idx="11">
                  <c:v>86.538461538461533</c:v>
                </c:pt>
                <c:pt idx="12">
                  <c:v>83.944954128440372</c:v>
                </c:pt>
                <c:pt idx="13">
                  <c:v>98.333333333333329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73-419E-8E13-ECE88E4FC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559344"/>
        <c:axId val="2077563304"/>
      </c:lineChart>
      <c:catAx>
        <c:axId val="207755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62944"/>
        <c:crosses val="autoZero"/>
        <c:auto val="1"/>
        <c:lblAlgn val="ctr"/>
        <c:lblOffset val="100"/>
        <c:noMultiLvlLbl val="0"/>
      </c:catAx>
      <c:valAx>
        <c:axId val="20775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 [psc]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59704"/>
        <c:crosses val="autoZero"/>
        <c:crossBetween val="between"/>
      </c:valAx>
      <c:valAx>
        <c:axId val="2077563304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Ratio [%]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59344"/>
        <c:crosses val="max"/>
        <c:crossBetween val="between"/>
      </c:valAx>
      <c:catAx>
        <c:axId val="2077559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7563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[P2P_Process_Analysis_Excel.xlsx]SLA_Week_trend!PIVOT_Q1_Weekly_Trend_Cases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rgbClr val="003366"/>
                </a:solidFill>
              </a:rPr>
              <a:t>SLA Performance - Weekly Trend</a:t>
            </a:r>
          </a:p>
        </c:rich>
      </c:tx>
      <c:layout>
        <c:manualLayout>
          <c:xMode val="edge"/>
          <c:yMode val="edge"/>
          <c:x val="0.32341206681882723"/>
          <c:y val="5.0627601544073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solidFill>
              <a:schemeClr val="accent6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5400" cap="rnd">
            <a:solidFill>
              <a:schemeClr val="accent1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FCCA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5400" cap="rnd">
            <a:solidFill>
              <a:srgbClr val="C00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252185587335006E-2"/>
          <c:y val="0.19003641134912566"/>
          <c:w val="0.54929651118221057"/>
          <c:h val="0.602446279706409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SLA_Week_trend!$K$30:$K$32</c:f>
              <c:strCache>
                <c:ptCount val="1"/>
                <c:pt idx="0">
                  <c:v>Acceptable - Total Cases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SLA_Week_trend!$J$33:$J$48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SLA_Week_trend!$K$33:$K$48</c:f>
              <c:numCache>
                <c:formatCode>General</c:formatCode>
                <c:ptCount val="14"/>
                <c:pt idx="0">
                  <c:v>617</c:v>
                </c:pt>
                <c:pt idx="1">
                  <c:v>1829</c:v>
                </c:pt>
                <c:pt idx="2">
                  <c:v>1692</c:v>
                </c:pt>
                <c:pt idx="3">
                  <c:v>1672</c:v>
                </c:pt>
                <c:pt idx="4">
                  <c:v>1533</c:v>
                </c:pt>
                <c:pt idx="5">
                  <c:v>1188</c:v>
                </c:pt>
                <c:pt idx="6">
                  <c:v>929</c:v>
                </c:pt>
                <c:pt idx="7">
                  <c:v>266</c:v>
                </c:pt>
                <c:pt idx="8">
                  <c:v>243</c:v>
                </c:pt>
                <c:pt idx="9">
                  <c:v>162</c:v>
                </c:pt>
                <c:pt idx="10">
                  <c:v>5</c:v>
                </c:pt>
                <c:pt idx="11">
                  <c:v>14</c:v>
                </c:pt>
                <c:pt idx="12">
                  <c:v>35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0-4CC3-924C-5B7858E6B0A2}"/>
            </c:ext>
          </c:extLst>
        </c:ser>
        <c:ser>
          <c:idx val="2"/>
          <c:order val="2"/>
          <c:tx>
            <c:strRef>
              <c:f>SLA_Week_trend!$M$30:$M$32</c:f>
              <c:strCache>
                <c:ptCount val="1"/>
                <c:pt idx="0">
                  <c:v>Watchlist - Total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SLA_Week_trend!$J$33:$J$48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SLA_Week_trend!$M$33:$M$48</c:f>
              <c:numCache>
                <c:formatCode>General</c:formatCode>
                <c:ptCount val="14"/>
                <c:pt idx="0">
                  <c:v>435</c:v>
                </c:pt>
                <c:pt idx="1">
                  <c:v>445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F0-4CC3-924C-5B7858E6B0A2}"/>
            </c:ext>
          </c:extLst>
        </c:ser>
        <c:ser>
          <c:idx val="4"/>
          <c:order val="4"/>
          <c:tx>
            <c:strRef>
              <c:f>SLA_Week_trend!$O$30:$O$32</c:f>
              <c:strCache>
                <c:ptCount val="1"/>
                <c:pt idx="0">
                  <c:v>Overdue - Total Cases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SLA_Week_trend!$J$33:$J$48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SLA_Week_trend!$O$33:$O$48</c:f>
              <c:numCache>
                <c:formatCode>General</c:formatCode>
                <c:ptCount val="14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F0-4CC3-924C-5B7858E6B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7557544"/>
        <c:axId val="2077558264"/>
      </c:barChart>
      <c:lineChart>
        <c:grouping val="standard"/>
        <c:varyColors val="0"/>
        <c:ser>
          <c:idx val="1"/>
          <c:order val="1"/>
          <c:tx>
            <c:strRef>
              <c:f>SLA_Week_trend!$L$30:$L$32</c:f>
              <c:strCache>
                <c:ptCount val="1"/>
                <c:pt idx="0">
                  <c:v>Acceptable - Ratio %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SLA_Week_trend!$J$33:$J$48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SLA_Week_trend!$L$33:$L$48</c:f>
              <c:numCache>
                <c:formatCode>0.00</c:formatCode>
                <c:ptCount val="14"/>
                <c:pt idx="0">
                  <c:v>57.93</c:v>
                </c:pt>
                <c:pt idx="1">
                  <c:v>80.430000000000007</c:v>
                </c:pt>
                <c:pt idx="2">
                  <c:v>99.47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0-4CC3-924C-5B7858E6B0A2}"/>
            </c:ext>
          </c:extLst>
        </c:ser>
        <c:ser>
          <c:idx val="3"/>
          <c:order val="3"/>
          <c:tx>
            <c:strRef>
              <c:f>SLA_Week_trend!$N$30:$N$32</c:f>
              <c:strCache>
                <c:ptCount val="1"/>
                <c:pt idx="0">
                  <c:v>Watchlist - Ratio %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CCA2A"/>
                </a:solidFill>
              </a:ln>
              <a:effectLst/>
            </c:spPr>
          </c:marker>
          <c:cat>
            <c:multiLvlStrRef>
              <c:f>SLA_Week_trend!$J$33:$J$48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SLA_Week_trend!$N$33:$N$48</c:f>
              <c:numCache>
                <c:formatCode>0.00</c:formatCode>
                <c:ptCount val="14"/>
                <c:pt idx="0">
                  <c:v>40.85</c:v>
                </c:pt>
                <c:pt idx="1">
                  <c:v>19.57</c:v>
                </c:pt>
                <c:pt idx="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F0-4CC3-924C-5B7858E6B0A2}"/>
            </c:ext>
          </c:extLst>
        </c:ser>
        <c:ser>
          <c:idx val="5"/>
          <c:order val="5"/>
          <c:tx>
            <c:strRef>
              <c:f>SLA_Week_trend!$P$30:$P$32</c:f>
              <c:strCache>
                <c:ptCount val="1"/>
                <c:pt idx="0">
                  <c:v>Overdue - Ratio %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multiLvlStrRef>
              <c:f>SLA_Week_trend!$J$33:$J$48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SLA_Week_trend!$P$33:$P$48</c:f>
              <c:numCache>
                <c:formatCode>0.00</c:formatCode>
                <c:ptCount val="14"/>
                <c:pt idx="0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F0-4CC3-924C-5B7858E6B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441984"/>
        <c:axId val="2077446664"/>
      </c:lineChart>
      <c:catAx>
        <c:axId val="2077557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58264"/>
        <c:crosses val="autoZero"/>
        <c:auto val="1"/>
        <c:lblAlgn val="ctr"/>
        <c:lblOffset val="100"/>
        <c:noMultiLvlLbl val="0"/>
      </c:catAx>
      <c:valAx>
        <c:axId val="207755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 [psc]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57544"/>
        <c:crosses val="autoZero"/>
        <c:crossBetween val="between"/>
      </c:valAx>
      <c:valAx>
        <c:axId val="2077446664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Ratio [%]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441984"/>
        <c:crosses val="max"/>
        <c:crossBetween val="between"/>
      </c:valAx>
      <c:catAx>
        <c:axId val="2077441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7446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[P2P_Process_Analysis_Excel.xlsx]SLA_Week_trend!PIVOT_Q1_Weekly_Trend_Cases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rgbClr val="003366"/>
                </a:solidFill>
              </a:rPr>
              <a:t>SLA Performance - Weekly Trend</a:t>
            </a:r>
          </a:p>
        </c:rich>
      </c:tx>
      <c:layout>
        <c:manualLayout>
          <c:xMode val="edge"/>
          <c:yMode val="edge"/>
          <c:x val="0.32341206681882723"/>
          <c:y val="5.0627601544073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 cap="rnd">
            <a:solidFill>
              <a:schemeClr val="accent6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 cap="rnd">
            <a:solidFill>
              <a:schemeClr val="accent1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FCCA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 cap="rnd">
            <a:solidFill>
              <a:srgbClr val="C00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 cap="rnd">
            <a:solidFill>
              <a:schemeClr val="accent6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 cap="rnd">
            <a:solidFill>
              <a:schemeClr val="accent1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FCCA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 cap="rnd">
            <a:solidFill>
              <a:srgbClr val="C00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 cap="rnd">
            <a:solidFill>
              <a:schemeClr val="accent6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 cap="rnd">
            <a:solidFill>
              <a:schemeClr val="accent1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FCCA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 cap="rnd">
            <a:solidFill>
              <a:srgbClr val="C00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 cap="rnd">
            <a:solidFill>
              <a:schemeClr val="accent6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 cap="rnd">
            <a:solidFill>
              <a:schemeClr val="accent1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FCCA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 cap="rnd">
            <a:solidFill>
              <a:srgbClr val="C00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5400" cap="rnd">
            <a:solidFill>
              <a:schemeClr val="accent6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5400" cap="rnd">
            <a:solidFill>
              <a:schemeClr val="accent1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FCCA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5400" cap="rnd">
            <a:solidFill>
              <a:srgbClr val="C00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252185587335006E-2"/>
          <c:y val="0.19003641134912566"/>
          <c:w val="0.54929651118221057"/>
          <c:h val="0.602446279706409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SLA_Week_trend!$K$30:$K$32</c:f>
              <c:strCache>
                <c:ptCount val="1"/>
                <c:pt idx="0">
                  <c:v>Acceptable - Total Cases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SLA_Week_trend!$J$33:$J$48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SLA_Week_trend!$K$33:$K$48</c:f>
              <c:numCache>
                <c:formatCode>General</c:formatCode>
                <c:ptCount val="14"/>
                <c:pt idx="0">
                  <c:v>617</c:v>
                </c:pt>
                <c:pt idx="1">
                  <c:v>1829</c:v>
                </c:pt>
                <c:pt idx="2">
                  <c:v>1692</c:v>
                </c:pt>
                <c:pt idx="3">
                  <c:v>1672</c:v>
                </c:pt>
                <c:pt idx="4">
                  <c:v>1533</c:v>
                </c:pt>
                <c:pt idx="5">
                  <c:v>1188</c:v>
                </c:pt>
                <c:pt idx="6">
                  <c:v>929</c:v>
                </c:pt>
                <c:pt idx="7">
                  <c:v>266</c:v>
                </c:pt>
                <c:pt idx="8">
                  <c:v>243</c:v>
                </c:pt>
                <c:pt idx="9">
                  <c:v>162</c:v>
                </c:pt>
                <c:pt idx="10">
                  <c:v>5</c:v>
                </c:pt>
                <c:pt idx="11">
                  <c:v>14</c:v>
                </c:pt>
                <c:pt idx="12">
                  <c:v>35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E-41AE-822C-4EB8B69D262F}"/>
            </c:ext>
          </c:extLst>
        </c:ser>
        <c:ser>
          <c:idx val="2"/>
          <c:order val="2"/>
          <c:tx>
            <c:strRef>
              <c:f>SLA_Week_trend!$M$30:$M$32</c:f>
              <c:strCache>
                <c:ptCount val="1"/>
                <c:pt idx="0">
                  <c:v>Watchlist - Total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SLA_Week_trend!$J$33:$J$48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SLA_Week_trend!$M$33:$M$48</c:f>
              <c:numCache>
                <c:formatCode>General</c:formatCode>
                <c:ptCount val="14"/>
                <c:pt idx="0">
                  <c:v>435</c:v>
                </c:pt>
                <c:pt idx="1">
                  <c:v>445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E-41AE-822C-4EB8B69D262F}"/>
            </c:ext>
          </c:extLst>
        </c:ser>
        <c:ser>
          <c:idx val="4"/>
          <c:order val="4"/>
          <c:tx>
            <c:strRef>
              <c:f>SLA_Week_trend!$O$30:$O$32</c:f>
              <c:strCache>
                <c:ptCount val="1"/>
                <c:pt idx="0">
                  <c:v>Overdue - Total Cases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SLA_Week_trend!$J$33:$J$48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SLA_Week_trend!$O$33:$O$48</c:f>
              <c:numCache>
                <c:formatCode>General</c:formatCode>
                <c:ptCount val="14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3E-41AE-822C-4EB8B69D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7557544"/>
        <c:axId val="2077558264"/>
      </c:barChart>
      <c:lineChart>
        <c:grouping val="standard"/>
        <c:varyColors val="0"/>
        <c:ser>
          <c:idx val="1"/>
          <c:order val="1"/>
          <c:tx>
            <c:strRef>
              <c:f>SLA_Week_trend!$L$30:$L$32</c:f>
              <c:strCache>
                <c:ptCount val="1"/>
                <c:pt idx="0">
                  <c:v>Acceptable - Ratio %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SLA_Week_trend!$J$33:$J$48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SLA_Week_trend!$L$33:$L$48</c:f>
              <c:numCache>
                <c:formatCode>0.00</c:formatCode>
                <c:ptCount val="14"/>
                <c:pt idx="0">
                  <c:v>57.93</c:v>
                </c:pt>
                <c:pt idx="1">
                  <c:v>80.430000000000007</c:v>
                </c:pt>
                <c:pt idx="2">
                  <c:v>99.47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3E-41AE-822C-4EB8B69D262F}"/>
            </c:ext>
          </c:extLst>
        </c:ser>
        <c:ser>
          <c:idx val="3"/>
          <c:order val="3"/>
          <c:tx>
            <c:strRef>
              <c:f>SLA_Week_trend!$N$30:$N$32</c:f>
              <c:strCache>
                <c:ptCount val="1"/>
                <c:pt idx="0">
                  <c:v>Watchlist - Ratio %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CCA2A"/>
                </a:solidFill>
              </a:ln>
              <a:effectLst/>
            </c:spPr>
          </c:marker>
          <c:cat>
            <c:multiLvlStrRef>
              <c:f>SLA_Week_trend!$J$33:$J$48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SLA_Week_trend!$N$33:$N$48</c:f>
              <c:numCache>
                <c:formatCode>0.00</c:formatCode>
                <c:ptCount val="14"/>
                <c:pt idx="0">
                  <c:v>40.85</c:v>
                </c:pt>
                <c:pt idx="1">
                  <c:v>19.57</c:v>
                </c:pt>
                <c:pt idx="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3E-41AE-822C-4EB8B69D262F}"/>
            </c:ext>
          </c:extLst>
        </c:ser>
        <c:ser>
          <c:idx val="5"/>
          <c:order val="5"/>
          <c:tx>
            <c:strRef>
              <c:f>SLA_Week_trend!$P$30:$P$32</c:f>
              <c:strCache>
                <c:ptCount val="1"/>
                <c:pt idx="0">
                  <c:v>Overdue - Ratio %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multiLvlStrRef>
              <c:f>SLA_Week_trend!$J$33:$J$48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SLA_Week_trend!$P$33:$P$48</c:f>
              <c:numCache>
                <c:formatCode>0.00</c:formatCode>
                <c:ptCount val="14"/>
                <c:pt idx="0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3E-41AE-822C-4EB8B69D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441984"/>
        <c:axId val="2077446664"/>
      </c:lineChart>
      <c:catAx>
        <c:axId val="2077557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58264"/>
        <c:crosses val="autoZero"/>
        <c:auto val="1"/>
        <c:lblAlgn val="ctr"/>
        <c:lblOffset val="100"/>
        <c:noMultiLvlLbl val="0"/>
      </c:catAx>
      <c:valAx>
        <c:axId val="207755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 [psc]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57544"/>
        <c:crosses val="autoZero"/>
        <c:crossBetween val="between"/>
      </c:valAx>
      <c:valAx>
        <c:axId val="2077446664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Ratio [%]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441984"/>
        <c:crosses val="max"/>
        <c:crossBetween val="between"/>
      </c:valAx>
      <c:catAx>
        <c:axId val="2077441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7446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[P2P_Process_Analysis_Excel.xlsx]SLA_Week_trend!PIVOT_Q1_Weekly_Trend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rgbClr val="003366"/>
                </a:solidFill>
              </a:rPr>
              <a:t>Closed vs Open Cases - Weekly Trend</a:t>
            </a:r>
          </a:p>
        </c:rich>
      </c:tx>
      <c:layout>
        <c:manualLayout>
          <c:xMode val="edge"/>
          <c:yMode val="edge"/>
          <c:x val="0.30992988208296324"/>
          <c:y val="4.03014201401498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  <a:alpha val="8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>
                <a:lumMod val="75000"/>
                <a:alpha val="8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  <a:alpha val="8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>
                <a:lumMod val="75000"/>
                <a:alpha val="8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  <a:alpha val="8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>
                <a:lumMod val="75000"/>
                <a:alpha val="8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  <a:alpha val="8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>
                <a:lumMod val="75000"/>
                <a:alpha val="8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5400" cap="rnd">
            <a:solidFill>
              <a:schemeClr val="accent1">
                <a:lumMod val="75000"/>
              </a:scheme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  <a:alpha val="8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5400" cap="rnd">
            <a:solidFill>
              <a:schemeClr val="accent3">
                <a:lumMod val="75000"/>
              </a:schemeClr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>
                <a:lumMod val="75000"/>
                <a:alpha val="8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180084719669768E-2"/>
          <c:y val="0.14324865006406198"/>
          <c:w val="0.55709943064126854"/>
          <c:h val="0.647863647580244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SLA_Week_trend!$K$4:$K$6</c:f>
              <c:strCache>
                <c:ptCount val="1"/>
                <c:pt idx="0">
                  <c:v>Closed Cases - Total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SLA_Week_trend!$J$7:$J$22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SLA_Week_trend!$K$7:$K$22</c:f>
              <c:numCache>
                <c:formatCode>General</c:formatCode>
                <c:ptCount val="14"/>
                <c:pt idx="0">
                  <c:v>1065</c:v>
                </c:pt>
                <c:pt idx="1">
                  <c:v>2274</c:v>
                </c:pt>
                <c:pt idx="2">
                  <c:v>1701</c:v>
                </c:pt>
                <c:pt idx="3">
                  <c:v>1672</c:v>
                </c:pt>
                <c:pt idx="4">
                  <c:v>1533</c:v>
                </c:pt>
                <c:pt idx="5">
                  <c:v>1188</c:v>
                </c:pt>
                <c:pt idx="6">
                  <c:v>929</c:v>
                </c:pt>
                <c:pt idx="7">
                  <c:v>266</c:v>
                </c:pt>
                <c:pt idx="8">
                  <c:v>243</c:v>
                </c:pt>
                <c:pt idx="9">
                  <c:v>162</c:v>
                </c:pt>
                <c:pt idx="10">
                  <c:v>5</c:v>
                </c:pt>
                <c:pt idx="11">
                  <c:v>14</c:v>
                </c:pt>
                <c:pt idx="12">
                  <c:v>35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A-4692-8B8E-E03976A11BE2}"/>
            </c:ext>
          </c:extLst>
        </c:ser>
        <c:ser>
          <c:idx val="2"/>
          <c:order val="2"/>
          <c:tx>
            <c:strRef>
              <c:f>SLA_Week_trend!$M$4:$M$6</c:f>
              <c:strCache>
                <c:ptCount val="1"/>
                <c:pt idx="0">
                  <c:v>Open Cases - Total Cases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SLA_Week_trend!$J$7:$J$22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SLA_Week_trend!$M$7:$M$22</c:f>
              <c:numCache>
                <c:formatCode>General</c:formatCode>
                <c:ptCount val="14"/>
                <c:pt idx="0">
                  <c:v>1019</c:v>
                </c:pt>
                <c:pt idx="1">
                  <c:v>2494</c:v>
                </c:pt>
                <c:pt idx="2">
                  <c:v>2664</c:v>
                </c:pt>
                <c:pt idx="3">
                  <c:v>3609</c:v>
                </c:pt>
                <c:pt idx="4">
                  <c:v>3273</c:v>
                </c:pt>
                <c:pt idx="5">
                  <c:v>3343</c:v>
                </c:pt>
                <c:pt idx="6">
                  <c:v>4284</c:v>
                </c:pt>
                <c:pt idx="7">
                  <c:v>4132</c:v>
                </c:pt>
                <c:pt idx="8">
                  <c:v>4885</c:v>
                </c:pt>
                <c:pt idx="9">
                  <c:v>4107</c:v>
                </c:pt>
                <c:pt idx="10">
                  <c:v>245</c:v>
                </c:pt>
                <c:pt idx="11">
                  <c:v>90</c:v>
                </c:pt>
                <c:pt idx="12">
                  <c:v>183</c:v>
                </c:pt>
                <c:pt idx="1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AA-4692-8B8E-E03976A11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77559704"/>
        <c:axId val="2077562944"/>
      </c:barChart>
      <c:lineChart>
        <c:grouping val="standard"/>
        <c:varyColors val="0"/>
        <c:ser>
          <c:idx val="1"/>
          <c:order val="1"/>
          <c:tx>
            <c:strRef>
              <c:f>SLA_Week_trend!$L$4:$L$6</c:f>
              <c:strCache>
                <c:ptCount val="1"/>
                <c:pt idx="0">
                  <c:v>Closed Cases - Ratio %  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  <a:alpha val="8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multiLvlStrRef>
              <c:f>SLA_Week_trend!$J$7:$J$22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SLA_Week_trend!$L$7:$L$22</c:f>
              <c:numCache>
                <c:formatCode>0.00</c:formatCode>
                <c:ptCount val="14"/>
                <c:pt idx="0">
                  <c:v>51.103646833013435</c:v>
                </c:pt>
                <c:pt idx="1">
                  <c:v>47.692953020134226</c:v>
                </c:pt>
                <c:pt idx="2">
                  <c:v>38.96907216494845</c:v>
                </c:pt>
                <c:pt idx="3">
                  <c:v>31.660670327589472</c:v>
                </c:pt>
                <c:pt idx="4">
                  <c:v>31.897627965043696</c:v>
                </c:pt>
                <c:pt idx="5">
                  <c:v>26.219377620834251</c:v>
                </c:pt>
                <c:pt idx="6">
                  <c:v>17.82083253404949</c:v>
                </c:pt>
                <c:pt idx="7">
                  <c:v>6.0482037289677129</c:v>
                </c:pt>
                <c:pt idx="8">
                  <c:v>4.7386895475819033</c:v>
                </c:pt>
                <c:pt idx="9">
                  <c:v>3.7947997189037244</c:v>
                </c:pt>
                <c:pt idx="10">
                  <c:v>2</c:v>
                </c:pt>
                <c:pt idx="11">
                  <c:v>13.461538461538462</c:v>
                </c:pt>
                <c:pt idx="12">
                  <c:v>16.055045871559631</c:v>
                </c:pt>
                <c:pt idx="13">
                  <c:v>1.6666666666666667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AA-4692-8B8E-E03976A11BE2}"/>
            </c:ext>
          </c:extLst>
        </c:ser>
        <c:ser>
          <c:idx val="3"/>
          <c:order val="3"/>
          <c:tx>
            <c:strRef>
              <c:f>SLA_Week_trend!$N$4:$N$6</c:f>
              <c:strCache>
                <c:ptCount val="1"/>
                <c:pt idx="0">
                  <c:v>Open Cases - Ratio %  </c:v>
                </c:pt>
              </c:strCache>
            </c:strRef>
          </c:tx>
          <c:spPr>
            <a:ln w="25400" cap="rnd">
              <a:solidFill>
                <a:schemeClr val="accent3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accent3">
                  <a:lumMod val="75000"/>
                  <a:alpha val="8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multiLvlStrRef>
              <c:f>SLA_Week_trend!$J$7:$J$22</c:f>
              <c:multiLvlStrCache>
                <c:ptCount val="14"/>
                <c:lvl>
                  <c:pt idx="0">
                    <c:v>42</c:v>
                  </c:pt>
                  <c:pt idx="1">
                    <c:v>43</c:v>
                  </c:pt>
                  <c:pt idx="2">
                    <c:v>44</c:v>
                  </c:pt>
                  <c:pt idx="3">
                    <c:v>45</c:v>
                  </c:pt>
                  <c:pt idx="4">
                    <c:v>46</c:v>
                  </c:pt>
                  <c:pt idx="5">
                    <c:v>47</c:v>
                  </c:pt>
                  <c:pt idx="6">
                    <c:v>48</c:v>
                  </c:pt>
                  <c:pt idx="7">
                    <c:v>49</c:v>
                  </c:pt>
                  <c:pt idx="8">
                    <c:v>50</c:v>
                  </c:pt>
                  <c:pt idx="9">
                    <c:v>51</c:v>
                  </c:pt>
                  <c:pt idx="10">
                    <c:v>52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2018</c:v>
                  </c:pt>
                  <c:pt idx="11">
                    <c:v>2019</c:v>
                  </c:pt>
                </c:lvl>
              </c:multiLvlStrCache>
            </c:multiLvlStrRef>
          </c:cat>
          <c:val>
            <c:numRef>
              <c:f>SLA_Week_trend!$N$7:$N$22</c:f>
              <c:numCache>
                <c:formatCode>0.00</c:formatCode>
                <c:ptCount val="14"/>
                <c:pt idx="0">
                  <c:v>48.896353166986565</c:v>
                </c:pt>
                <c:pt idx="1">
                  <c:v>52.307046979865774</c:v>
                </c:pt>
                <c:pt idx="2">
                  <c:v>61.030927835051543</c:v>
                </c:pt>
                <c:pt idx="3">
                  <c:v>68.339329672410528</c:v>
                </c:pt>
                <c:pt idx="4">
                  <c:v>68.102372034956304</c:v>
                </c:pt>
                <c:pt idx="5">
                  <c:v>73.780622379165749</c:v>
                </c:pt>
                <c:pt idx="6">
                  <c:v>82.179167465950513</c:v>
                </c:pt>
                <c:pt idx="7">
                  <c:v>93.951796271032293</c:v>
                </c:pt>
                <c:pt idx="8">
                  <c:v>95.261310452418101</c:v>
                </c:pt>
                <c:pt idx="9">
                  <c:v>96.205200281096282</c:v>
                </c:pt>
                <c:pt idx="10">
                  <c:v>98</c:v>
                </c:pt>
                <c:pt idx="11">
                  <c:v>86.538461538461533</c:v>
                </c:pt>
                <c:pt idx="12">
                  <c:v>83.944954128440372</c:v>
                </c:pt>
                <c:pt idx="13">
                  <c:v>98.333333333333329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AA-4692-8B8E-E03976A11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559344"/>
        <c:axId val="2077563304"/>
      </c:lineChart>
      <c:catAx>
        <c:axId val="207755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62944"/>
        <c:crosses val="autoZero"/>
        <c:auto val="1"/>
        <c:lblAlgn val="ctr"/>
        <c:lblOffset val="100"/>
        <c:noMultiLvlLbl val="0"/>
      </c:catAx>
      <c:valAx>
        <c:axId val="20775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 [psc]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59704"/>
        <c:crosses val="autoZero"/>
        <c:crossBetween val="between"/>
      </c:valAx>
      <c:valAx>
        <c:axId val="2077563304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Ratio [%]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59344"/>
        <c:crosses val="max"/>
        <c:crossBetween val="between"/>
      </c:valAx>
      <c:catAx>
        <c:axId val="2077559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7563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[P2P_Process_Analysis_Excel.xlsx]Stage_duaration!PIVOT_Q2_Stage_Duaration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Closed</a:t>
            </a:r>
            <a:r>
              <a:rPr lang="pl-PL" baseline="0"/>
              <a:t> cases days duaration per stage</a:t>
            </a:r>
            <a:endParaRPr lang="en-GB"/>
          </a:p>
        </c:rich>
      </c:tx>
      <c:layout>
        <c:manualLayout>
          <c:xMode val="edge"/>
          <c:yMode val="edge"/>
          <c:x val="0.25939956324357094"/>
          <c:y val="2.8072577884286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2700" cap="rnd">
            <a:solidFill>
              <a:schemeClr val="accent3">
                <a:lumMod val="75000"/>
                <a:alpha val="60000"/>
              </a:schemeClr>
            </a:solidFill>
            <a:prstDash val="dash"/>
            <a:round/>
          </a:ln>
          <a:effectLst/>
        </c:spPr>
        <c:marker>
          <c:symbol val="diamond"/>
          <c:size val="9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2700" cap="rnd">
            <a:solidFill>
              <a:schemeClr val="accent3">
                <a:lumMod val="75000"/>
                <a:alpha val="60000"/>
              </a:schemeClr>
            </a:solidFill>
            <a:prstDash val="dash"/>
            <a:round/>
          </a:ln>
          <a:effectLst/>
        </c:spPr>
        <c:marker>
          <c:symbol val="diamond"/>
          <c:size val="9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weave">
            <a:fgClr>
              <a:schemeClr val="accent3"/>
            </a:fgClr>
            <a:bgClr>
              <a:schemeClr val="bg1"/>
            </a:bgClr>
          </a:pattFill>
          <a:ln w="12700">
            <a:noFill/>
            <a:prstDash val="dash"/>
          </a:ln>
          <a:effectLst/>
        </c:spPr>
        <c:marker>
          <c:symbol val="diamond"/>
          <c:size val="9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weave">
            <a:fgClr>
              <a:schemeClr val="accent3"/>
            </a:fgClr>
            <a:bgClr>
              <a:schemeClr val="bg1"/>
            </a:bgClr>
          </a:pattFill>
          <a:ln w="12700">
            <a:noFill/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weave">
            <a:fgClr>
              <a:schemeClr val="accent3"/>
            </a:fgClr>
            <a:bgClr>
              <a:schemeClr val="bg1"/>
            </a:bgClr>
          </a:pattFill>
          <a:ln w="12700">
            <a:noFill/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77990644870178"/>
          <c:y val="0.12368334392983484"/>
          <c:w val="0.754744559489119"/>
          <c:h val="0.62921080517109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Stage_duaration!$M$3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Stage_duaration!$L$4:$L$16</c:f>
              <c:multiLvlStrCache>
                <c:ptCount val="9"/>
                <c:lvl>
                  <c:pt idx="0">
                    <c:v>All</c:v>
                  </c:pt>
                  <c:pt idx="1">
                    <c:v>SLA</c:v>
                  </c:pt>
                  <c:pt idx="2">
                    <c:v>Non-SLA</c:v>
                  </c:pt>
                  <c:pt idx="3">
                    <c:v>All</c:v>
                  </c:pt>
                  <c:pt idx="4">
                    <c:v>SLA</c:v>
                  </c:pt>
                  <c:pt idx="5">
                    <c:v>Non-SLA</c:v>
                  </c:pt>
                  <c:pt idx="6">
                    <c:v>All</c:v>
                  </c:pt>
                  <c:pt idx="7">
                    <c:v>SLA</c:v>
                  </c:pt>
                  <c:pt idx="8">
                    <c:v>Non-SLA</c:v>
                  </c:pt>
                </c:lvl>
                <c:lvl>
                  <c:pt idx="0">
                    <c:v>PO → GR</c:v>
                  </c:pt>
                  <c:pt idx="3">
                    <c:v>GR → IR</c:v>
                  </c:pt>
                  <c:pt idx="6">
                    <c:v>IR → CI</c:v>
                  </c:pt>
                </c:lvl>
              </c:multiLvlStrCache>
            </c:multiLvlStrRef>
          </c:cat>
          <c:val>
            <c:numRef>
              <c:f>Stage_duaration!$M$4:$M$16</c:f>
              <c:numCache>
                <c:formatCode>General</c:formatCode>
                <c:ptCount val="9"/>
                <c:pt idx="0">
                  <c:v>10</c:v>
                </c:pt>
                <c:pt idx="1">
                  <c:v>5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36</c:v>
                </c:pt>
                <c:pt idx="7">
                  <c:v>24</c:v>
                </c:pt>
                <c:pt idx="8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2-4C7F-8909-84AC5935E986}"/>
            </c:ext>
          </c:extLst>
        </c:ser>
        <c:ser>
          <c:idx val="1"/>
          <c:order val="1"/>
          <c:tx>
            <c:strRef>
              <c:f>Stage_duaration!$N$3</c:f>
              <c:strCache>
                <c:ptCount val="1"/>
                <c:pt idx="0">
                  <c:v>P90 </c:v>
                </c:pt>
              </c:strCache>
            </c:strRef>
          </c:tx>
          <c:spPr>
            <a:pattFill prst="weave">
              <a:fgClr>
                <a:schemeClr val="accent3"/>
              </a:fgClr>
              <a:bgClr>
                <a:schemeClr val="bg1"/>
              </a:bgClr>
            </a:pattFill>
            <a:ln w="12700">
              <a:noFill/>
              <a:prstDash val="dash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Stage_duaration!$L$4:$L$16</c:f>
              <c:multiLvlStrCache>
                <c:ptCount val="9"/>
                <c:lvl>
                  <c:pt idx="0">
                    <c:v>All</c:v>
                  </c:pt>
                  <c:pt idx="1">
                    <c:v>SLA</c:v>
                  </c:pt>
                  <c:pt idx="2">
                    <c:v>Non-SLA</c:v>
                  </c:pt>
                  <c:pt idx="3">
                    <c:v>All</c:v>
                  </c:pt>
                  <c:pt idx="4">
                    <c:v>SLA</c:v>
                  </c:pt>
                  <c:pt idx="5">
                    <c:v>Non-SLA</c:v>
                  </c:pt>
                  <c:pt idx="6">
                    <c:v>All</c:v>
                  </c:pt>
                  <c:pt idx="7">
                    <c:v>SLA</c:v>
                  </c:pt>
                  <c:pt idx="8">
                    <c:v>Non-SLA</c:v>
                  </c:pt>
                </c:lvl>
                <c:lvl>
                  <c:pt idx="0">
                    <c:v>PO → GR</c:v>
                  </c:pt>
                  <c:pt idx="3">
                    <c:v>GR → IR</c:v>
                  </c:pt>
                  <c:pt idx="6">
                    <c:v>IR → CI</c:v>
                  </c:pt>
                </c:lvl>
              </c:multiLvlStrCache>
            </c:multiLvlStrRef>
          </c:cat>
          <c:val>
            <c:numRef>
              <c:f>Stage_duaration!$N$4:$N$16</c:f>
              <c:numCache>
                <c:formatCode>General</c:formatCode>
                <c:ptCount val="9"/>
                <c:pt idx="0">
                  <c:v>34</c:v>
                </c:pt>
                <c:pt idx="1">
                  <c:v>16</c:v>
                </c:pt>
                <c:pt idx="2">
                  <c:v>39</c:v>
                </c:pt>
                <c:pt idx="3">
                  <c:v>45</c:v>
                </c:pt>
                <c:pt idx="4">
                  <c:v>36</c:v>
                </c:pt>
                <c:pt idx="5">
                  <c:v>56</c:v>
                </c:pt>
                <c:pt idx="6">
                  <c:v>90</c:v>
                </c:pt>
                <c:pt idx="7">
                  <c:v>47</c:v>
                </c:pt>
                <c:pt idx="8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62-4C7F-8909-84AC5935E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701560"/>
        <c:axId val="371701200"/>
      </c:barChart>
      <c:catAx>
        <c:axId val="371701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01200"/>
        <c:crosses val="autoZero"/>
        <c:auto val="1"/>
        <c:lblAlgn val="ctr"/>
        <c:lblOffset val="100"/>
        <c:noMultiLvlLbl val="0"/>
      </c:catAx>
      <c:valAx>
        <c:axId val="37170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Number of</a:t>
                </a:r>
                <a:r>
                  <a:rPr lang="pl-PL" baseline="0"/>
                  <a:t> days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01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Abnormalities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3009860253954741"/>
          <c:y val="0.14493942946463462"/>
          <c:w val="0.75020300522847994"/>
          <c:h val="0.654245653229368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Abnormalities!$B$3</c:f>
              <c:strCache>
                <c:ptCount val="1"/>
                <c:pt idx="0">
                  <c:v>Case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Abnormalities!$A$4:$A$9</c:f>
              <c:strCache>
                <c:ptCount val="6"/>
                <c:pt idx="0">
                  <c:v>Lack abnormality</c:v>
                </c:pt>
                <c:pt idx="1">
                  <c:v>Missing_GR</c:v>
                </c:pt>
                <c:pt idx="2">
                  <c:v>Missing_IR</c:v>
                </c:pt>
                <c:pt idx="3">
                  <c:v>Invalid_GR_IR</c:v>
                </c:pt>
                <c:pt idx="4">
                  <c:v>Invalid_IR_CI</c:v>
                </c:pt>
                <c:pt idx="5">
                  <c:v>Missing_CI</c:v>
                </c:pt>
              </c:strCache>
            </c:strRef>
          </c:cat>
          <c:val>
            <c:numRef>
              <c:f>Abnormalities!$B$4:$B$9</c:f>
              <c:numCache>
                <c:formatCode>General</c:formatCode>
                <c:ptCount val="6"/>
                <c:pt idx="0">
                  <c:v>81438</c:v>
                </c:pt>
                <c:pt idx="1">
                  <c:v>11766</c:v>
                </c:pt>
                <c:pt idx="2">
                  <c:v>16130</c:v>
                </c:pt>
                <c:pt idx="3">
                  <c:v>5034</c:v>
                </c:pt>
                <c:pt idx="4">
                  <c:v>123</c:v>
                </c:pt>
                <c:pt idx="5">
                  <c:v>25058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0-4B51-BE62-D00565C87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606728"/>
        <c:axId val="833611048"/>
      </c:barChart>
      <c:lineChart>
        <c:grouping val="standard"/>
        <c:varyColors val="0"/>
        <c:ser>
          <c:idx val="1"/>
          <c:order val="1"/>
          <c:tx>
            <c:strRef>
              <c:f>Abnormalities!$C$3</c:f>
              <c:strCache>
                <c:ptCount val="1"/>
                <c:pt idx="0">
                  <c:v>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635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Abnormalities!$A$4:$A$9</c:f>
              <c:strCache>
                <c:ptCount val="6"/>
                <c:pt idx="0">
                  <c:v>Lack abnormality</c:v>
                </c:pt>
                <c:pt idx="1">
                  <c:v>Missing_GR</c:v>
                </c:pt>
                <c:pt idx="2">
                  <c:v>Missing_IR</c:v>
                </c:pt>
                <c:pt idx="3">
                  <c:v>Invalid_GR_IR</c:v>
                </c:pt>
                <c:pt idx="4">
                  <c:v>Invalid_IR_CI</c:v>
                </c:pt>
                <c:pt idx="5">
                  <c:v>Missing_CI</c:v>
                </c:pt>
              </c:strCache>
            </c:strRef>
          </c:cat>
          <c:val>
            <c:numRef>
              <c:f>Abnormalities!$C$4:$C$9</c:f>
              <c:numCache>
                <c:formatCode>General</c:formatCode>
                <c:ptCount val="6"/>
                <c:pt idx="0">
                  <c:v>58.36</c:v>
                </c:pt>
                <c:pt idx="1">
                  <c:v>8.43</c:v>
                </c:pt>
                <c:pt idx="2">
                  <c:v>11.56</c:v>
                </c:pt>
                <c:pt idx="3">
                  <c:v>3.61</c:v>
                </c:pt>
                <c:pt idx="4">
                  <c:v>0.09</c:v>
                </c:pt>
                <c:pt idx="5">
                  <c:v>17.96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10-4B51-BE62-D00565C87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648488"/>
        <c:axId val="833656408"/>
      </c:lineChart>
      <c:catAx>
        <c:axId val="83360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3611048"/>
        <c:crosses val="autoZero"/>
        <c:auto val="1"/>
        <c:lblAlgn val="ctr"/>
        <c:lblOffset val="100"/>
        <c:noMultiLvlLbl val="0"/>
      </c:catAx>
      <c:valAx>
        <c:axId val="83361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Numbers of Cases [pcs]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3606728"/>
        <c:crosses val="autoZero"/>
        <c:crossBetween val="between"/>
      </c:valAx>
      <c:valAx>
        <c:axId val="8336564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Ratio [%]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3648488"/>
        <c:crosses val="max"/>
        <c:crossBetween val="between"/>
      </c:valAx>
      <c:catAx>
        <c:axId val="833648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3656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775975919676707"/>
          <c:y val="0.90437506160130543"/>
          <c:w val="0.37911875598883471"/>
          <c:h val="6.5944189567159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[P2P_Process_Analysis_Excel.xlsx]Bottleneck_contribution!PIVOT_Q2_Bottleneck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 dirty="0" err="1">
                <a:solidFill>
                  <a:srgbClr val="003366"/>
                </a:solidFill>
              </a:rPr>
              <a:t>Bottleneck</a:t>
            </a:r>
            <a:r>
              <a:rPr lang="pl-PL" sz="1400" b="0" i="0" u="none" strike="noStrike" kern="1200" spc="0" baseline="0" dirty="0">
                <a:solidFill>
                  <a:srgbClr val="003366"/>
                </a:solidFill>
              </a:rPr>
              <a:t> </a:t>
            </a:r>
            <a:r>
              <a:rPr lang="pl-PL" sz="1400" b="0" i="0" u="none" strike="noStrike" kern="1200" spc="0" baseline="0" dirty="0" err="1">
                <a:solidFill>
                  <a:srgbClr val="003366"/>
                </a:solidFill>
              </a:rPr>
              <a:t>contribution</a:t>
            </a:r>
            <a:r>
              <a:rPr lang="pl-PL" sz="1400" b="0" i="0" u="none" strike="noStrike" kern="1200" spc="0" baseline="0" dirty="0">
                <a:solidFill>
                  <a:srgbClr val="003366"/>
                </a:solidFill>
              </a:rPr>
              <a:t> per </a:t>
            </a:r>
            <a:r>
              <a:rPr lang="pl-PL" sz="1400" b="0" i="0" u="none" strike="noStrike" kern="1200" spc="0" baseline="0" dirty="0" err="1">
                <a:solidFill>
                  <a:srgbClr val="003366"/>
                </a:solidFill>
              </a:rPr>
              <a:t>stage</a:t>
            </a:r>
            <a:endParaRPr lang="en-US" sz="1400" b="0" i="0" u="none" strike="noStrike" kern="1200" spc="0" baseline="0" dirty="0">
              <a:solidFill>
                <a:srgbClr val="003366"/>
              </a:solidFill>
            </a:endParaRPr>
          </a:p>
        </c:rich>
      </c:tx>
      <c:layout>
        <c:manualLayout>
          <c:xMode val="edge"/>
          <c:yMode val="edge"/>
          <c:x val="0.32084926007646214"/>
          <c:y val="3.6016343267036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02537182852142"/>
          <c:y val="0.14291447944006999"/>
          <c:w val="0.83341907261592296"/>
          <c:h val="0.576959366741122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Bottleneck_contribution!$K$3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Bottleneck_contribution!$J$4:$J$16</c:f>
              <c:multiLvlStrCache>
                <c:ptCount val="9"/>
                <c:lvl>
                  <c:pt idx="0">
                    <c:v>All</c:v>
                  </c:pt>
                  <c:pt idx="1">
                    <c:v>SLA</c:v>
                  </c:pt>
                  <c:pt idx="2">
                    <c:v>Non-SLA</c:v>
                  </c:pt>
                  <c:pt idx="3">
                    <c:v>All</c:v>
                  </c:pt>
                  <c:pt idx="4">
                    <c:v>SLA</c:v>
                  </c:pt>
                  <c:pt idx="5">
                    <c:v>Non-SLA</c:v>
                  </c:pt>
                  <c:pt idx="6">
                    <c:v>All</c:v>
                  </c:pt>
                  <c:pt idx="7">
                    <c:v>SLA</c:v>
                  </c:pt>
                  <c:pt idx="8">
                    <c:v>Non-SLA</c:v>
                  </c:pt>
                </c:lvl>
                <c:lvl>
                  <c:pt idx="0">
                    <c:v>PO → GR</c:v>
                  </c:pt>
                  <c:pt idx="3">
                    <c:v>GR → IR</c:v>
                  </c:pt>
                  <c:pt idx="6">
                    <c:v>IR → CI</c:v>
                  </c:pt>
                </c:lvl>
              </c:multiLvlStrCache>
            </c:multiLvlStrRef>
          </c:cat>
          <c:val>
            <c:numRef>
              <c:f>Bottleneck_contribution!$K$4:$K$16</c:f>
              <c:numCache>
                <c:formatCode>0</c:formatCode>
                <c:ptCount val="9"/>
                <c:pt idx="0">
                  <c:v>11.86</c:v>
                </c:pt>
                <c:pt idx="1">
                  <c:v>10.77</c:v>
                </c:pt>
                <c:pt idx="2">
                  <c:v>12.66</c:v>
                </c:pt>
                <c:pt idx="3">
                  <c:v>21.82</c:v>
                </c:pt>
                <c:pt idx="4">
                  <c:v>29.55</c:v>
                </c:pt>
                <c:pt idx="5">
                  <c:v>13.98</c:v>
                </c:pt>
                <c:pt idx="6">
                  <c:v>59.42</c:v>
                </c:pt>
                <c:pt idx="7">
                  <c:v>53.66</c:v>
                </c:pt>
                <c:pt idx="8">
                  <c:v>66.09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4-44AF-9B99-47090B173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160048"/>
        <c:axId val="1041161848"/>
      </c:barChart>
      <c:catAx>
        <c:axId val="104116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61848"/>
        <c:crosses val="autoZero"/>
        <c:auto val="1"/>
        <c:lblAlgn val="ctr"/>
        <c:lblOffset val="100"/>
        <c:noMultiLvlLbl val="0"/>
      </c:catAx>
      <c:valAx>
        <c:axId val="104116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days 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6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[P2P_Process_Analysis_Excel.xlsx]Stage_duaration!PIVOT_Q2_Stage_Duaration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Closed</a:t>
            </a:r>
            <a:r>
              <a:rPr lang="pl-PL" baseline="0"/>
              <a:t> cases days duaration per stage</a:t>
            </a:r>
            <a:endParaRPr lang="en-GB"/>
          </a:p>
        </c:rich>
      </c:tx>
      <c:layout>
        <c:manualLayout>
          <c:xMode val="edge"/>
          <c:yMode val="edge"/>
          <c:x val="0.25939956324357094"/>
          <c:y val="2.8072577884286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2700" cap="rnd">
            <a:solidFill>
              <a:schemeClr val="accent3">
                <a:lumMod val="75000"/>
                <a:alpha val="60000"/>
              </a:schemeClr>
            </a:solidFill>
            <a:prstDash val="dash"/>
            <a:round/>
          </a:ln>
          <a:effectLst/>
        </c:spPr>
        <c:marker>
          <c:symbol val="diamond"/>
          <c:size val="9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2700" cap="rnd">
            <a:solidFill>
              <a:schemeClr val="accent3">
                <a:lumMod val="75000"/>
                <a:alpha val="60000"/>
              </a:schemeClr>
            </a:solidFill>
            <a:prstDash val="dash"/>
            <a:round/>
          </a:ln>
          <a:effectLst/>
        </c:spPr>
        <c:marker>
          <c:symbol val="diamond"/>
          <c:size val="9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weave">
            <a:fgClr>
              <a:schemeClr val="accent3"/>
            </a:fgClr>
            <a:bgClr>
              <a:schemeClr val="bg1"/>
            </a:bgClr>
          </a:pattFill>
          <a:ln w="12700">
            <a:noFill/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77990644870178"/>
          <c:y val="0.12368334392983484"/>
          <c:w val="0.754744559489119"/>
          <c:h val="0.62921080517109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Stage_duaration!$M$3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Stage_duaration!$L$4:$L$16</c:f>
              <c:multiLvlStrCache>
                <c:ptCount val="9"/>
                <c:lvl>
                  <c:pt idx="0">
                    <c:v>All</c:v>
                  </c:pt>
                  <c:pt idx="1">
                    <c:v>SLA</c:v>
                  </c:pt>
                  <c:pt idx="2">
                    <c:v>Non-SLA</c:v>
                  </c:pt>
                  <c:pt idx="3">
                    <c:v>All</c:v>
                  </c:pt>
                  <c:pt idx="4">
                    <c:v>SLA</c:v>
                  </c:pt>
                  <c:pt idx="5">
                    <c:v>Non-SLA</c:v>
                  </c:pt>
                  <c:pt idx="6">
                    <c:v>All</c:v>
                  </c:pt>
                  <c:pt idx="7">
                    <c:v>SLA</c:v>
                  </c:pt>
                  <c:pt idx="8">
                    <c:v>Non-SLA</c:v>
                  </c:pt>
                </c:lvl>
                <c:lvl>
                  <c:pt idx="0">
                    <c:v>PO → GR</c:v>
                  </c:pt>
                  <c:pt idx="3">
                    <c:v>GR → IR</c:v>
                  </c:pt>
                  <c:pt idx="6">
                    <c:v>IR → CI</c:v>
                  </c:pt>
                </c:lvl>
              </c:multiLvlStrCache>
            </c:multiLvlStrRef>
          </c:cat>
          <c:val>
            <c:numRef>
              <c:f>Stage_duaration!$M$4:$M$16</c:f>
              <c:numCache>
                <c:formatCode>General</c:formatCode>
                <c:ptCount val="9"/>
                <c:pt idx="0">
                  <c:v>10</c:v>
                </c:pt>
                <c:pt idx="1">
                  <c:v>5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36</c:v>
                </c:pt>
                <c:pt idx="7">
                  <c:v>24</c:v>
                </c:pt>
                <c:pt idx="8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0-4D8F-8628-0A5C39F85C42}"/>
            </c:ext>
          </c:extLst>
        </c:ser>
        <c:ser>
          <c:idx val="1"/>
          <c:order val="1"/>
          <c:tx>
            <c:strRef>
              <c:f>Stage_duaration!$N$3</c:f>
              <c:strCache>
                <c:ptCount val="1"/>
                <c:pt idx="0">
                  <c:v>P90 </c:v>
                </c:pt>
              </c:strCache>
            </c:strRef>
          </c:tx>
          <c:spPr>
            <a:pattFill prst="weave">
              <a:fgClr>
                <a:schemeClr val="accent3"/>
              </a:fgClr>
              <a:bgClr>
                <a:schemeClr val="bg1"/>
              </a:bgClr>
            </a:pattFill>
            <a:ln w="12700">
              <a:noFill/>
              <a:prstDash val="dash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Stage_duaration!$L$4:$L$16</c:f>
              <c:multiLvlStrCache>
                <c:ptCount val="9"/>
                <c:lvl>
                  <c:pt idx="0">
                    <c:v>All</c:v>
                  </c:pt>
                  <c:pt idx="1">
                    <c:v>SLA</c:v>
                  </c:pt>
                  <c:pt idx="2">
                    <c:v>Non-SLA</c:v>
                  </c:pt>
                  <c:pt idx="3">
                    <c:v>All</c:v>
                  </c:pt>
                  <c:pt idx="4">
                    <c:v>SLA</c:v>
                  </c:pt>
                  <c:pt idx="5">
                    <c:v>Non-SLA</c:v>
                  </c:pt>
                  <c:pt idx="6">
                    <c:v>All</c:v>
                  </c:pt>
                  <c:pt idx="7">
                    <c:v>SLA</c:v>
                  </c:pt>
                  <c:pt idx="8">
                    <c:v>Non-SLA</c:v>
                  </c:pt>
                </c:lvl>
                <c:lvl>
                  <c:pt idx="0">
                    <c:v>PO → GR</c:v>
                  </c:pt>
                  <c:pt idx="3">
                    <c:v>GR → IR</c:v>
                  </c:pt>
                  <c:pt idx="6">
                    <c:v>IR → CI</c:v>
                  </c:pt>
                </c:lvl>
              </c:multiLvlStrCache>
            </c:multiLvlStrRef>
          </c:cat>
          <c:val>
            <c:numRef>
              <c:f>Stage_duaration!$N$4:$N$16</c:f>
              <c:numCache>
                <c:formatCode>General</c:formatCode>
                <c:ptCount val="9"/>
                <c:pt idx="0">
                  <c:v>34</c:v>
                </c:pt>
                <c:pt idx="1">
                  <c:v>16</c:v>
                </c:pt>
                <c:pt idx="2">
                  <c:v>39</c:v>
                </c:pt>
                <c:pt idx="3">
                  <c:v>45</c:v>
                </c:pt>
                <c:pt idx="4">
                  <c:v>36</c:v>
                </c:pt>
                <c:pt idx="5">
                  <c:v>56</c:v>
                </c:pt>
                <c:pt idx="6">
                  <c:v>90</c:v>
                </c:pt>
                <c:pt idx="7">
                  <c:v>47</c:v>
                </c:pt>
                <c:pt idx="8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0-4D8F-8628-0A5C39F85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701560"/>
        <c:axId val="371701200"/>
      </c:barChart>
      <c:catAx>
        <c:axId val="371701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01200"/>
        <c:crosses val="autoZero"/>
        <c:auto val="1"/>
        <c:lblAlgn val="ctr"/>
        <c:lblOffset val="100"/>
        <c:noMultiLvlLbl val="0"/>
      </c:catAx>
      <c:valAx>
        <c:axId val="37170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Number of</a:t>
                </a:r>
                <a:r>
                  <a:rPr lang="pl-PL" baseline="0"/>
                  <a:t> days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01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Abnormalities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3009860253954741"/>
          <c:y val="0.14493942946463462"/>
          <c:w val="0.75020300522847994"/>
          <c:h val="0.654245653229368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Abnormalities!$B$3</c:f>
              <c:strCache>
                <c:ptCount val="1"/>
                <c:pt idx="0">
                  <c:v>Case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Abnormalities!$A$4:$A$9</c:f>
              <c:strCache>
                <c:ptCount val="6"/>
                <c:pt idx="0">
                  <c:v>Lack abnormality</c:v>
                </c:pt>
                <c:pt idx="1">
                  <c:v>Missing_GR</c:v>
                </c:pt>
                <c:pt idx="2">
                  <c:v>Missing_IR</c:v>
                </c:pt>
                <c:pt idx="3">
                  <c:v>Invalid_GR_IR</c:v>
                </c:pt>
                <c:pt idx="4">
                  <c:v>Invalid_IR_CI</c:v>
                </c:pt>
                <c:pt idx="5">
                  <c:v>Missing_CI</c:v>
                </c:pt>
              </c:strCache>
            </c:strRef>
          </c:cat>
          <c:val>
            <c:numRef>
              <c:f>Abnormalities!$B$4:$B$9</c:f>
              <c:numCache>
                <c:formatCode>General</c:formatCode>
                <c:ptCount val="6"/>
                <c:pt idx="0">
                  <c:v>81438</c:v>
                </c:pt>
                <c:pt idx="1">
                  <c:v>11766</c:v>
                </c:pt>
                <c:pt idx="2">
                  <c:v>16130</c:v>
                </c:pt>
                <c:pt idx="3">
                  <c:v>5034</c:v>
                </c:pt>
                <c:pt idx="4">
                  <c:v>123</c:v>
                </c:pt>
                <c:pt idx="5">
                  <c:v>25058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2-4780-BD2B-CA70CD51B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606728"/>
        <c:axId val="833611048"/>
      </c:barChart>
      <c:lineChart>
        <c:grouping val="standard"/>
        <c:varyColors val="0"/>
        <c:ser>
          <c:idx val="1"/>
          <c:order val="1"/>
          <c:tx>
            <c:strRef>
              <c:f>Abnormalities!$C$3</c:f>
              <c:strCache>
                <c:ptCount val="1"/>
                <c:pt idx="0">
                  <c:v>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635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Abnormalities!$A$4:$A$9</c:f>
              <c:strCache>
                <c:ptCount val="6"/>
                <c:pt idx="0">
                  <c:v>Lack abnormality</c:v>
                </c:pt>
                <c:pt idx="1">
                  <c:v>Missing_GR</c:v>
                </c:pt>
                <c:pt idx="2">
                  <c:v>Missing_IR</c:v>
                </c:pt>
                <c:pt idx="3">
                  <c:v>Invalid_GR_IR</c:v>
                </c:pt>
                <c:pt idx="4">
                  <c:v>Invalid_IR_CI</c:v>
                </c:pt>
                <c:pt idx="5">
                  <c:v>Missing_CI</c:v>
                </c:pt>
              </c:strCache>
            </c:strRef>
          </c:cat>
          <c:val>
            <c:numRef>
              <c:f>Abnormalities!$C$4:$C$9</c:f>
              <c:numCache>
                <c:formatCode>General</c:formatCode>
                <c:ptCount val="6"/>
                <c:pt idx="0">
                  <c:v>58.36</c:v>
                </c:pt>
                <c:pt idx="1">
                  <c:v>8.43</c:v>
                </c:pt>
                <c:pt idx="2">
                  <c:v>11.56</c:v>
                </c:pt>
                <c:pt idx="3">
                  <c:v>3.61</c:v>
                </c:pt>
                <c:pt idx="4">
                  <c:v>0.09</c:v>
                </c:pt>
                <c:pt idx="5">
                  <c:v>17.96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B2-4780-BD2B-CA70CD51B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648488"/>
        <c:axId val="833656408"/>
      </c:lineChart>
      <c:catAx>
        <c:axId val="83360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3611048"/>
        <c:crosses val="autoZero"/>
        <c:auto val="1"/>
        <c:lblAlgn val="ctr"/>
        <c:lblOffset val="100"/>
        <c:noMultiLvlLbl val="0"/>
      </c:catAx>
      <c:valAx>
        <c:axId val="83361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Numbers of Cases [pcs]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3606728"/>
        <c:crosses val="autoZero"/>
        <c:crossBetween val="between"/>
      </c:valAx>
      <c:valAx>
        <c:axId val="8336564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Ratio [%]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3648488"/>
        <c:crosses val="max"/>
        <c:crossBetween val="between"/>
      </c:valAx>
      <c:catAx>
        <c:axId val="833648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3656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775975919676707"/>
          <c:y val="0.90437506160130543"/>
          <c:w val="0.37911875598883471"/>
          <c:h val="6.5944189567159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[P2P_Process_Analysis_Excel.xlsx]Bottleneck_contribution!PIVOT_Q2_Bottleneck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 dirty="0" err="1">
                <a:solidFill>
                  <a:srgbClr val="003366"/>
                </a:solidFill>
              </a:rPr>
              <a:t>Bottleneck</a:t>
            </a:r>
            <a:r>
              <a:rPr lang="pl-PL" sz="1400" b="0" i="0" u="none" strike="noStrike" kern="1200" spc="0" baseline="0" dirty="0">
                <a:solidFill>
                  <a:srgbClr val="003366"/>
                </a:solidFill>
              </a:rPr>
              <a:t> </a:t>
            </a:r>
            <a:r>
              <a:rPr lang="pl-PL" sz="1400" b="0" i="0" u="none" strike="noStrike" kern="1200" spc="0" baseline="0" dirty="0" err="1">
                <a:solidFill>
                  <a:srgbClr val="003366"/>
                </a:solidFill>
              </a:rPr>
              <a:t>contribution</a:t>
            </a:r>
            <a:r>
              <a:rPr lang="pl-PL" sz="1400" b="0" i="0" u="none" strike="noStrike" kern="1200" spc="0" baseline="0" dirty="0">
                <a:solidFill>
                  <a:srgbClr val="003366"/>
                </a:solidFill>
              </a:rPr>
              <a:t> per </a:t>
            </a:r>
            <a:r>
              <a:rPr lang="pl-PL" sz="1400" b="0" i="0" u="none" strike="noStrike" kern="1200" spc="0" baseline="0" dirty="0" err="1">
                <a:solidFill>
                  <a:srgbClr val="003366"/>
                </a:solidFill>
              </a:rPr>
              <a:t>stage</a:t>
            </a:r>
            <a:endParaRPr lang="en-US" sz="1400" b="0" i="0" u="none" strike="noStrike" kern="1200" spc="0" baseline="0" dirty="0">
              <a:solidFill>
                <a:srgbClr val="003366"/>
              </a:solidFill>
            </a:endParaRPr>
          </a:p>
        </c:rich>
      </c:tx>
      <c:layout>
        <c:manualLayout>
          <c:xMode val="edge"/>
          <c:yMode val="edge"/>
          <c:x val="0.23986111111111105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02537182852142"/>
          <c:y val="0.14291447944006999"/>
          <c:w val="0.83341907261592296"/>
          <c:h val="0.529950787401574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Bottleneck_contribution!$K$3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Bottleneck_contribution!$J$4:$J$16</c:f>
              <c:multiLvlStrCache>
                <c:ptCount val="9"/>
                <c:lvl>
                  <c:pt idx="0">
                    <c:v>All</c:v>
                  </c:pt>
                  <c:pt idx="1">
                    <c:v>SLA</c:v>
                  </c:pt>
                  <c:pt idx="2">
                    <c:v>Non-SLA</c:v>
                  </c:pt>
                  <c:pt idx="3">
                    <c:v>All</c:v>
                  </c:pt>
                  <c:pt idx="4">
                    <c:v>SLA</c:v>
                  </c:pt>
                  <c:pt idx="5">
                    <c:v>Non-SLA</c:v>
                  </c:pt>
                  <c:pt idx="6">
                    <c:v>All</c:v>
                  </c:pt>
                  <c:pt idx="7">
                    <c:v>SLA</c:v>
                  </c:pt>
                  <c:pt idx="8">
                    <c:v>Non-SLA</c:v>
                  </c:pt>
                </c:lvl>
                <c:lvl>
                  <c:pt idx="0">
                    <c:v>PO → GR</c:v>
                  </c:pt>
                  <c:pt idx="3">
                    <c:v>GR → IR</c:v>
                  </c:pt>
                  <c:pt idx="6">
                    <c:v>IR → CI</c:v>
                  </c:pt>
                </c:lvl>
              </c:multiLvlStrCache>
            </c:multiLvlStrRef>
          </c:cat>
          <c:val>
            <c:numRef>
              <c:f>Bottleneck_contribution!$K$4:$K$16</c:f>
              <c:numCache>
                <c:formatCode>0</c:formatCode>
                <c:ptCount val="9"/>
                <c:pt idx="0">
                  <c:v>11.86</c:v>
                </c:pt>
                <c:pt idx="1">
                  <c:v>10.77</c:v>
                </c:pt>
                <c:pt idx="2">
                  <c:v>12.66</c:v>
                </c:pt>
                <c:pt idx="3">
                  <c:v>21.82</c:v>
                </c:pt>
                <c:pt idx="4">
                  <c:v>29.55</c:v>
                </c:pt>
                <c:pt idx="5">
                  <c:v>13.98</c:v>
                </c:pt>
                <c:pt idx="6">
                  <c:v>59.42</c:v>
                </c:pt>
                <c:pt idx="7">
                  <c:v>53.66</c:v>
                </c:pt>
                <c:pt idx="8">
                  <c:v>66.09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C-46E6-B787-A00332A0D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160048"/>
        <c:axId val="1041161848"/>
      </c:barChart>
      <c:catAx>
        <c:axId val="104116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61848"/>
        <c:crosses val="autoZero"/>
        <c:auto val="1"/>
        <c:lblAlgn val="ctr"/>
        <c:lblOffset val="100"/>
        <c:noMultiLvlLbl val="0"/>
      </c:catAx>
      <c:valAx>
        <c:axId val="104116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days 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6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[P2P_Process_Analysis_Excel.xlsx]Vendor_ranking!PIVOT_Q3_Vendor_Delay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Delay</a:t>
            </a:r>
            <a:r>
              <a:rPr lang="pl-PL" baseline="0"/>
              <a:t> Ratio per Vendor</a:t>
            </a:r>
            <a:endParaRPr lang="en-GB"/>
          </a:p>
        </c:rich>
      </c:tx>
      <c:layout>
        <c:manualLayout>
          <c:xMode val="edge"/>
          <c:yMode val="edge"/>
          <c:x val="0.37040619056557972"/>
          <c:y val="3.032588251920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>
            <a:gsLst>
              <a:gs pos="25000">
                <a:schemeClr val="accent1"/>
              </a:gs>
              <a:gs pos="100000">
                <a:schemeClr val="accent1"/>
              </a:gs>
            </a:gsLst>
            <a:lin ang="5400000" scaled="1"/>
          </a:gra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3">
                <a:alpha val="85000"/>
              </a:schemeClr>
            </a:solidFill>
            <a:prstDash val="dash"/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>
                  <a:lumMod val="75000"/>
                  <a:alpha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pct70">
            <a:fgClr>
              <a:schemeClr val="accent2"/>
            </a:fgClr>
            <a:bgClr>
              <a:schemeClr val="bg1"/>
            </a:bgClr>
          </a:pattFill>
          <a:ln>
            <a:solidFill>
              <a:schemeClr val="accent3">
                <a:alpha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25000">
                <a:schemeClr val="accent1"/>
              </a:gs>
              <a:gs pos="100000">
                <a:schemeClr val="accent1"/>
              </a:gs>
            </a:gsLst>
            <a:lin ang="5400000" scaled="1"/>
          </a:gra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pct70">
            <a:fgClr>
              <a:schemeClr val="accent2"/>
            </a:fgClr>
            <a:bgClr>
              <a:schemeClr val="bg1"/>
            </a:bgClr>
          </a:pattFill>
          <a:ln>
            <a:solidFill>
              <a:schemeClr val="accent3">
                <a:alpha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accent3">
                <a:alpha val="85000"/>
              </a:schemeClr>
            </a:solidFill>
            <a:prstDash val="dash"/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>
                  <a:lumMod val="75000"/>
                  <a:alpha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25000">
                <a:schemeClr val="accent1"/>
              </a:gs>
              <a:gs pos="100000">
                <a:schemeClr val="accent1"/>
              </a:gs>
            </a:gsLst>
            <a:lin ang="5400000" scaled="1"/>
          </a:gra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pct70">
            <a:fgClr>
              <a:schemeClr val="accent2"/>
            </a:fgClr>
            <a:bgClr>
              <a:schemeClr val="bg1"/>
            </a:bgClr>
          </a:pattFill>
          <a:ln>
            <a:solidFill>
              <a:schemeClr val="accent3">
                <a:alpha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3">
                <a:alpha val="85000"/>
              </a:schemeClr>
            </a:solidFill>
            <a:prstDash val="dash"/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>
                  <a:lumMod val="75000"/>
                  <a:alpha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877748240627976E-2"/>
          <c:y val="0.11115720917125256"/>
          <c:w val="0.81832574859725626"/>
          <c:h val="0.638204321823604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Vendor_ranking!$J$40</c:f>
              <c:strCache>
                <c:ptCount val="1"/>
                <c:pt idx="0">
                  <c:v>Total cases</c:v>
                </c:pt>
              </c:strCache>
            </c:strRef>
          </c:tx>
          <c:spPr>
            <a:gradFill>
              <a:gsLst>
                <a:gs pos="25000">
                  <a:schemeClr val="accent1"/>
                </a:gs>
                <a:gs pos="100000">
                  <a:schemeClr val="accent1"/>
                </a:gs>
              </a:gsLst>
              <a:lin ang="5400000" scaled="1"/>
            </a:gradFill>
            <a:ln>
              <a:solidFill>
                <a:schemeClr val="accent3"/>
              </a:solidFill>
            </a:ln>
            <a:effectLst/>
          </c:spPr>
          <c:invertIfNegative val="0"/>
          <c:cat>
            <c:multiLvlStrRef>
              <c:f>Vendor_ranking!$I$41:$I$71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Vendor_ranking!$J$41:$J$71</c:f>
              <c:numCache>
                <c:formatCode>General</c:formatCode>
                <c:ptCount val="15"/>
                <c:pt idx="0">
                  <c:v>4195</c:v>
                </c:pt>
                <c:pt idx="1">
                  <c:v>4406</c:v>
                </c:pt>
                <c:pt idx="2">
                  <c:v>3477</c:v>
                </c:pt>
                <c:pt idx="3">
                  <c:v>2827</c:v>
                </c:pt>
                <c:pt idx="4">
                  <c:v>2000</c:v>
                </c:pt>
                <c:pt idx="5">
                  <c:v>1633</c:v>
                </c:pt>
                <c:pt idx="6">
                  <c:v>1782</c:v>
                </c:pt>
                <c:pt idx="7">
                  <c:v>962</c:v>
                </c:pt>
                <c:pt idx="8">
                  <c:v>1116</c:v>
                </c:pt>
                <c:pt idx="9">
                  <c:v>1299</c:v>
                </c:pt>
                <c:pt idx="10">
                  <c:v>637</c:v>
                </c:pt>
                <c:pt idx="11">
                  <c:v>1892</c:v>
                </c:pt>
                <c:pt idx="12">
                  <c:v>439</c:v>
                </c:pt>
                <c:pt idx="13">
                  <c:v>436</c:v>
                </c:pt>
                <c:pt idx="14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E-43F8-81DB-6813483C8273}"/>
            </c:ext>
          </c:extLst>
        </c:ser>
        <c:ser>
          <c:idx val="1"/>
          <c:order val="1"/>
          <c:tx>
            <c:strRef>
              <c:f>Vendor_ranking!$K$40</c:f>
              <c:strCache>
                <c:ptCount val="1"/>
                <c:pt idx="0">
                  <c:v>Delay cases</c:v>
                </c:pt>
              </c:strCache>
            </c:strRef>
          </c:tx>
          <c:spPr>
            <a:pattFill prst="pct70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3">
                  <a:alpha val="50000"/>
                </a:schemeClr>
              </a:solidFill>
            </a:ln>
            <a:effectLst/>
          </c:spPr>
          <c:invertIfNegative val="0"/>
          <c:cat>
            <c:multiLvlStrRef>
              <c:f>Vendor_ranking!$I$41:$I$71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Vendor_ranking!$K$41:$K$71</c:f>
              <c:numCache>
                <c:formatCode>General</c:formatCode>
                <c:ptCount val="15"/>
                <c:pt idx="0">
                  <c:v>4175</c:v>
                </c:pt>
                <c:pt idx="1">
                  <c:v>3566</c:v>
                </c:pt>
                <c:pt idx="2">
                  <c:v>2673</c:v>
                </c:pt>
                <c:pt idx="3">
                  <c:v>2351</c:v>
                </c:pt>
                <c:pt idx="4">
                  <c:v>1999</c:v>
                </c:pt>
                <c:pt idx="5">
                  <c:v>1633</c:v>
                </c:pt>
                <c:pt idx="6">
                  <c:v>1065</c:v>
                </c:pt>
                <c:pt idx="7">
                  <c:v>907</c:v>
                </c:pt>
                <c:pt idx="8">
                  <c:v>601</c:v>
                </c:pt>
                <c:pt idx="9">
                  <c:v>507</c:v>
                </c:pt>
                <c:pt idx="10">
                  <c:v>461</c:v>
                </c:pt>
                <c:pt idx="11">
                  <c:v>456</c:v>
                </c:pt>
                <c:pt idx="12">
                  <c:v>437</c:v>
                </c:pt>
                <c:pt idx="13">
                  <c:v>419</c:v>
                </c:pt>
                <c:pt idx="14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E-43F8-81DB-6813483C8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3853312"/>
        <c:axId val="913850792"/>
      </c:barChart>
      <c:lineChart>
        <c:grouping val="standard"/>
        <c:varyColors val="0"/>
        <c:ser>
          <c:idx val="2"/>
          <c:order val="2"/>
          <c:tx>
            <c:strRef>
              <c:f>Vendor_ranking!$L$40</c:f>
              <c:strCache>
                <c:ptCount val="1"/>
                <c:pt idx="0">
                  <c:v>Delayed Ratio</c:v>
                </c:pt>
              </c:strCache>
            </c:strRef>
          </c:tx>
          <c:spPr>
            <a:ln w="22225" cap="rnd">
              <a:solidFill>
                <a:schemeClr val="accent3">
                  <a:alpha val="85000"/>
                </a:schemeClr>
              </a:solidFill>
              <a:prstDash val="dash"/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>
                    <a:lumMod val="75000"/>
                    <a:alpha val="80000"/>
                  </a:schemeClr>
                </a:solidFill>
              </a:ln>
              <a:effectLst/>
            </c:spPr>
          </c:marker>
          <c:cat>
            <c:multiLvlStrRef>
              <c:f>Vendor_ranking!$I$41:$I$71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Vendor_ranking!$L$41:$L$71</c:f>
              <c:numCache>
                <c:formatCode>General</c:formatCode>
                <c:ptCount val="15"/>
                <c:pt idx="0">
                  <c:v>99.52</c:v>
                </c:pt>
                <c:pt idx="1">
                  <c:v>80.94</c:v>
                </c:pt>
                <c:pt idx="2">
                  <c:v>76.88</c:v>
                </c:pt>
                <c:pt idx="3">
                  <c:v>83.16</c:v>
                </c:pt>
                <c:pt idx="4">
                  <c:v>99.95</c:v>
                </c:pt>
                <c:pt idx="5">
                  <c:v>100</c:v>
                </c:pt>
                <c:pt idx="6">
                  <c:v>59.76</c:v>
                </c:pt>
                <c:pt idx="7">
                  <c:v>94.28</c:v>
                </c:pt>
                <c:pt idx="8">
                  <c:v>53.85</c:v>
                </c:pt>
                <c:pt idx="9">
                  <c:v>39.03</c:v>
                </c:pt>
                <c:pt idx="10">
                  <c:v>72.37</c:v>
                </c:pt>
                <c:pt idx="11">
                  <c:v>24.1</c:v>
                </c:pt>
                <c:pt idx="12">
                  <c:v>99.54</c:v>
                </c:pt>
                <c:pt idx="13">
                  <c:v>96.1</c:v>
                </c:pt>
                <c:pt idx="14">
                  <c:v>87.34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4E-43F8-81DB-6813483C8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677496"/>
        <c:axId val="1327678216"/>
      </c:lineChart>
      <c:catAx>
        <c:axId val="913853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Vendor Key with rank number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50792"/>
        <c:crosses val="autoZero"/>
        <c:auto val="1"/>
        <c:lblAlgn val="ctr"/>
        <c:lblOffset val="100"/>
        <c:noMultiLvlLbl val="0"/>
      </c:catAx>
      <c:valAx>
        <c:axId val="91385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53312"/>
        <c:crosses val="autoZero"/>
        <c:crossBetween val="between"/>
      </c:valAx>
      <c:valAx>
        <c:axId val="1327678216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Delay Ratio [%]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77496"/>
        <c:crosses val="max"/>
        <c:crossBetween val="between"/>
      </c:valAx>
      <c:catAx>
        <c:axId val="1327677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7678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161333357949355"/>
          <c:y val="0.85720529384258826"/>
          <c:w val="0.38424133963158441"/>
          <c:h val="0.13409211065029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[P2P_Process_Analysis_Excel.xlsx]Vendor_ranking!PIVOT_Q3_Vendor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Vendor</a:t>
            </a:r>
            <a:r>
              <a:rPr lang="pl-PL" baseline="0"/>
              <a:t> results</a:t>
            </a:r>
            <a:endParaRPr lang="en-GB"/>
          </a:p>
        </c:rich>
      </c:tx>
      <c:layout>
        <c:manualLayout>
          <c:xMode val="edge"/>
          <c:yMode val="edge"/>
          <c:x val="0.4482120292788262"/>
          <c:y val="6.1517312368973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2225" cap="rnd">
            <a:solidFill>
              <a:schemeClr val="accent3"/>
            </a:solidFill>
            <a:prstDash val="solid"/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12700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 cap="rnd">
            <a:solidFill>
              <a:schemeClr val="accent3"/>
            </a:solidFill>
            <a:prstDash val="solid"/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12700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2225" cap="rnd">
            <a:solidFill>
              <a:schemeClr val="accent3"/>
            </a:solidFill>
            <a:prstDash val="solid"/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12700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2225" cap="rnd">
            <a:solidFill>
              <a:schemeClr val="accent3"/>
            </a:solidFill>
            <a:prstDash val="solid"/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12700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2225" cap="rnd">
            <a:solidFill>
              <a:schemeClr val="accent3"/>
            </a:solidFill>
            <a:prstDash val="solid"/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12700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67176572851065"/>
          <c:y val="0.17222659496590179"/>
          <c:w val="0.79411960310194629"/>
          <c:h val="0.484365808035053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Vendor_ranking!$J$5</c:f>
              <c:strCache>
                <c:ptCount val="1"/>
                <c:pt idx="0">
                  <c:v>Delay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Vendor_ranking!$I$6:$I$36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Vendor_ranking!$J$6:$J$36</c:f>
              <c:numCache>
                <c:formatCode>General</c:formatCode>
                <c:ptCount val="15"/>
                <c:pt idx="0">
                  <c:v>4175</c:v>
                </c:pt>
                <c:pt idx="1">
                  <c:v>3566</c:v>
                </c:pt>
                <c:pt idx="2">
                  <c:v>2673</c:v>
                </c:pt>
                <c:pt idx="3">
                  <c:v>2351</c:v>
                </c:pt>
                <c:pt idx="4">
                  <c:v>1999</c:v>
                </c:pt>
                <c:pt idx="5">
                  <c:v>1633</c:v>
                </c:pt>
                <c:pt idx="6">
                  <c:v>1065</c:v>
                </c:pt>
                <c:pt idx="7">
                  <c:v>907</c:v>
                </c:pt>
                <c:pt idx="8">
                  <c:v>601</c:v>
                </c:pt>
                <c:pt idx="9">
                  <c:v>507</c:v>
                </c:pt>
                <c:pt idx="10">
                  <c:v>461</c:v>
                </c:pt>
                <c:pt idx="11">
                  <c:v>456</c:v>
                </c:pt>
                <c:pt idx="12">
                  <c:v>437</c:v>
                </c:pt>
                <c:pt idx="13">
                  <c:v>419</c:v>
                </c:pt>
                <c:pt idx="14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5-4760-A91C-2F97DB126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38900376"/>
        <c:axId val="1038902536"/>
      </c:barChart>
      <c:lineChart>
        <c:grouping val="standard"/>
        <c:varyColors val="0"/>
        <c:ser>
          <c:idx val="1"/>
          <c:order val="1"/>
          <c:tx>
            <c:strRef>
              <c:f>Vendor_ranking!$K$5</c:f>
              <c:strCache>
                <c:ptCount val="1"/>
                <c:pt idx="0">
                  <c:v>Impact Share</c:v>
                </c:pt>
              </c:strCache>
            </c:strRef>
          </c:tx>
          <c:spPr>
            <a:ln w="2222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12700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multiLvlStrRef>
              <c:f>Vendor_ranking!$I$6:$I$36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Vendor_ranking!$K$6:$K$36</c:f>
              <c:numCache>
                <c:formatCode>General</c:formatCode>
                <c:ptCount val="15"/>
                <c:pt idx="0">
                  <c:v>9.9499999999999993</c:v>
                </c:pt>
                <c:pt idx="1">
                  <c:v>8.5</c:v>
                </c:pt>
                <c:pt idx="2">
                  <c:v>6.37</c:v>
                </c:pt>
                <c:pt idx="3">
                  <c:v>5.6</c:v>
                </c:pt>
                <c:pt idx="4">
                  <c:v>4.7699999999999996</c:v>
                </c:pt>
                <c:pt idx="5">
                  <c:v>3.89</c:v>
                </c:pt>
                <c:pt idx="6">
                  <c:v>2.54</c:v>
                </c:pt>
                <c:pt idx="7">
                  <c:v>2.16</c:v>
                </c:pt>
                <c:pt idx="8">
                  <c:v>1.43</c:v>
                </c:pt>
                <c:pt idx="9">
                  <c:v>1.21</c:v>
                </c:pt>
                <c:pt idx="10">
                  <c:v>1.1000000000000001</c:v>
                </c:pt>
                <c:pt idx="11">
                  <c:v>1.0900000000000001</c:v>
                </c:pt>
                <c:pt idx="12">
                  <c:v>1.04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5-4760-A91C-2F97DB126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229064"/>
        <c:axId val="1178223664"/>
      </c:lineChart>
      <c:catAx>
        <c:axId val="1038900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Vendor Key with rank number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02536"/>
        <c:crosses val="autoZero"/>
        <c:auto val="1"/>
        <c:lblAlgn val="ctr"/>
        <c:lblOffset val="100"/>
        <c:noMultiLvlLbl val="0"/>
      </c:catAx>
      <c:valAx>
        <c:axId val="103890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Number of Cases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00376"/>
        <c:crosses val="autoZero"/>
        <c:crossBetween val="between"/>
      </c:valAx>
      <c:valAx>
        <c:axId val="1178223664"/>
        <c:scaling>
          <c:orientation val="minMax"/>
          <c:max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Impact</a:t>
                </a:r>
                <a:r>
                  <a:rPr lang="pl-PL" baseline="0"/>
                  <a:t> Share - Ratio [%]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96627241894516402"/>
              <c:y val="0.247499463345093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29064"/>
        <c:crosses val="max"/>
        <c:crossBetween val="between"/>
      </c:valAx>
      <c:catAx>
        <c:axId val="1178229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8223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5372682783788915"/>
          <c:y val="0.87323192849004572"/>
          <c:w val="0.5399153814120019"/>
          <c:h val="0.113461506706810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[P2P_Process_Analysis_Excel.xlsx]Vendor_duaration!PIVOT_Q3_Vendor_duaration</c:name>
    <c:fmtId val="8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rgbClr val="003366"/>
                </a:solidFill>
              </a:rPr>
              <a:t>IR → CI Median Duration by Vendor (SLA vs Delayed</a:t>
            </a: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)</a:t>
            </a:r>
            <a:endParaRPr lang="en-GB"/>
          </a:p>
        </c:rich>
      </c:tx>
      <c:layout>
        <c:manualLayout>
          <c:xMode val="edge"/>
          <c:yMode val="edge"/>
          <c:x val="0.31154325436741459"/>
          <c:y val="3.3425602873326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noFill/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222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2225" cap="rnd">
            <a:noFill/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>
            <a:noFill/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511269342161889E-2"/>
          <c:y val="0.16910995122912198"/>
          <c:w val="0.88933643283144714"/>
          <c:h val="0.4807695042689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Vendor_duaration!$K$5:$K$7</c:f>
              <c:strCache>
                <c:ptCount val="1"/>
                <c:pt idx="0">
                  <c:v>SLA - Median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Vendor_duaration!$J$8:$J$37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Vendor_duaration!$K$8:$K$37</c:f>
              <c:numCache>
                <c:formatCode>General</c:formatCode>
                <c:ptCount val="15"/>
                <c:pt idx="0">
                  <c:v>16</c:v>
                </c:pt>
                <c:pt idx="1">
                  <c:v>39</c:v>
                </c:pt>
                <c:pt idx="2">
                  <c:v>59</c:v>
                </c:pt>
                <c:pt idx="3">
                  <c:v>38</c:v>
                </c:pt>
                <c:pt idx="4">
                  <c:v>3</c:v>
                </c:pt>
                <c:pt idx="6">
                  <c:v>23</c:v>
                </c:pt>
                <c:pt idx="7">
                  <c:v>28</c:v>
                </c:pt>
                <c:pt idx="8">
                  <c:v>14</c:v>
                </c:pt>
                <c:pt idx="9">
                  <c:v>24</c:v>
                </c:pt>
                <c:pt idx="10">
                  <c:v>46</c:v>
                </c:pt>
                <c:pt idx="11">
                  <c:v>7</c:v>
                </c:pt>
                <c:pt idx="12">
                  <c:v>0</c:v>
                </c:pt>
                <c:pt idx="13">
                  <c:v>63</c:v>
                </c:pt>
                <c:pt idx="1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E-4CE7-9CAC-1190CD9DCD61}"/>
            </c:ext>
          </c:extLst>
        </c:ser>
        <c:ser>
          <c:idx val="2"/>
          <c:order val="2"/>
          <c:tx>
            <c:strRef>
              <c:f>Vendor_duaration!$M$5:$M$7</c:f>
              <c:strCache>
                <c:ptCount val="1"/>
                <c:pt idx="0">
                  <c:v>Non-SLA - Median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Vendor_duaration!$J$8:$J$37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Vendor_duaration!$M$8:$M$37</c:f>
              <c:numCache>
                <c:formatCode>General</c:formatCode>
                <c:ptCount val="15"/>
                <c:pt idx="0">
                  <c:v>105</c:v>
                </c:pt>
                <c:pt idx="1">
                  <c:v>90</c:v>
                </c:pt>
                <c:pt idx="2">
                  <c:v>73</c:v>
                </c:pt>
                <c:pt idx="3">
                  <c:v>74</c:v>
                </c:pt>
                <c:pt idx="4">
                  <c:v>86</c:v>
                </c:pt>
                <c:pt idx="5">
                  <c:v>101</c:v>
                </c:pt>
                <c:pt idx="6">
                  <c:v>34</c:v>
                </c:pt>
                <c:pt idx="7">
                  <c:v>49</c:v>
                </c:pt>
                <c:pt idx="8">
                  <c:v>24</c:v>
                </c:pt>
                <c:pt idx="9">
                  <c:v>22</c:v>
                </c:pt>
                <c:pt idx="10">
                  <c:v>60</c:v>
                </c:pt>
                <c:pt idx="11">
                  <c:v>21</c:v>
                </c:pt>
                <c:pt idx="12">
                  <c:v>67</c:v>
                </c:pt>
                <c:pt idx="13">
                  <c:v>55</c:v>
                </c:pt>
                <c:pt idx="1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BE-4CE7-9CAC-1190CD9DC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0698208"/>
        <c:axId val="1034929328"/>
      </c:barChart>
      <c:lineChart>
        <c:grouping val="standard"/>
        <c:varyColors val="0"/>
        <c:ser>
          <c:idx val="1"/>
          <c:order val="1"/>
          <c:tx>
            <c:strRef>
              <c:f>Vendor_duaration!$L$5:$L$7</c:f>
              <c:strCache>
                <c:ptCount val="1"/>
                <c:pt idx="0">
                  <c:v>SLA - Median duration of on-time cases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multiLvlStrRef>
              <c:f>Vendor_duaration!$J$8:$J$37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Vendor_duaration!$L$8:$L$37</c:f>
              <c:numCache>
                <c:formatCode>General</c:formatCode>
                <c:ptCount val="15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BE-4CE7-9CAC-1190CD9DCD61}"/>
            </c:ext>
          </c:extLst>
        </c:ser>
        <c:ser>
          <c:idx val="3"/>
          <c:order val="3"/>
          <c:tx>
            <c:strRef>
              <c:f>Vendor_duaration!$N$5:$N$7</c:f>
              <c:strCache>
                <c:ptCount val="1"/>
                <c:pt idx="0">
                  <c:v>Non-SLA - Median duration of on-time cases</c:v>
                </c:pt>
              </c:strCache>
            </c:strRef>
          </c:tx>
          <c:spPr>
            <a:ln w="22225" cap="rnd">
              <a:noFill/>
              <a:prstDash val="dash"/>
              <a:round/>
            </a:ln>
            <a:effectLst/>
          </c:spPr>
          <c:marker>
            <c:symbol val="none"/>
          </c:marker>
          <c:cat>
            <c:multiLvlStrRef>
              <c:f>Vendor_duaration!$J$8:$J$37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Vendor_duaration!$N$8:$N$37</c:f>
              <c:numCache>
                <c:formatCode>General</c:formatCode>
                <c:ptCount val="15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BE-4CE7-9CAC-1190CD9DC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698208"/>
        <c:axId val="1034929328"/>
      </c:lineChart>
      <c:catAx>
        <c:axId val="1170698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Vendor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Key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with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rank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929328"/>
        <c:crosses val="autoZero"/>
        <c:auto val="1"/>
        <c:lblAlgn val="ctr"/>
        <c:lblOffset val="100"/>
        <c:noMultiLvlLbl val="0"/>
      </c:catAx>
      <c:valAx>
        <c:axId val="103492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Days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69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3785414767315245"/>
          <c:y val="0.81916928851616755"/>
          <c:w val="0.57644823611418461"/>
          <c:h val="0.160331035165704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[P2P_Process_Analysis_Excel.xlsx]Vendor_bottleneck!PIVOT_SQL_Q3_Vendor_bottleneck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rgbClr val="003366"/>
                </a:solidFill>
              </a:rPr>
              <a:t>IR → CI Contribution to Delay by Vendor</a:t>
            </a: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 </a:t>
            </a:r>
            <a:endParaRPr lang="en-US" sz="1400" b="1" i="0" u="none" strike="noStrike" kern="1200" spc="0" baseline="0" dirty="0">
              <a:solidFill>
                <a:srgbClr val="003366"/>
              </a:solidFill>
            </a:endParaRPr>
          </a:p>
        </c:rich>
      </c:tx>
      <c:layout>
        <c:manualLayout>
          <c:xMode val="edge"/>
          <c:yMode val="edge"/>
          <c:x val="0.30329708055088178"/>
          <c:y val="5.3673172949815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3"/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2225" cap="rnd">
            <a:solidFill>
              <a:schemeClr val="accent1"/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accent4"/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977231921860338E-2"/>
          <c:y val="0.17101418156239714"/>
          <c:w val="0.88583526322908346"/>
          <c:h val="0.55782222618780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Vendor_bottleneck!$I$5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Vendor_bottleneck!$H$6:$H$35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Vendor_bottleneck!$I$6:$I$35</c:f>
              <c:numCache>
                <c:formatCode>0</c:formatCode>
                <c:ptCount val="15"/>
                <c:pt idx="0">
                  <c:v>84.17</c:v>
                </c:pt>
                <c:pt idx="1">
                  <c:v>81.900000000000006</c:v>
                </c:pt>
                <c:pt idx="2">
                  <c:v>84.62</c:v>
                </c:pt>
                <c:pt idx="3">
                  <c:v>80.22</c:v>
                </c:pt>
                <c:pt idx="4">
                  <c:v>82.79</c:v>
                </c:pt>
                <c:pt idx="5">
                  <c:v>91.92</c:v>
                </c:pt>
                <c:pt idx="6">
                  <c:v>40</c:v>
                </c:pt>
                <c:pt idx="7">
                  <c:v>51.77</c:v>
                </c:pt>
                <c:pt idx="8">
                  <c:v>27.38</c:v>
                </c:pt>
                <c:pt idx="9">
                  <c:v>27.16</c:v>
                </c:pt>
                <c:pt idx="10">
                  <c:v>68.180000000000007</c:v>
                </c:pt>
                <c:pt idx="11">
                  <c:v>27.27</c:v>
                </c:pt>
                <c:pt idx="12">
                  <c:v>69.150000000000006</c:v>
                </c:pt>
                <c:pt idx="13">
                  <c:v>60</c:v>
                </c:pt>
                <c:pt idx="14">
                  <c:v>59.04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E-4CAE-953F-7768C5F4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4629952"/>
        <c:axId val="1174629592"/>
      </c:barChart>
      <c:catAx>
        <c:axId val="1174629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Vendor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Key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with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rank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29592"/>
        <c:crosses val="autoZero"/>
        <c:auto val="1"/>
        <c:lblAlgn val="ctr"/>
        <c:lblOffset val="100"/>
        <c:noMultiLvlLbl val="0"/>
      </c:catAx>
      <c:valAx>
        <c:axId val="117462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 dirty="0">
                    <a:solidFill>
                      <a:srgbClr val="003366"/>
                    </a:solidFill>
                  </a:rPr>
                  <a:t>Share of Lead Time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2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[P2P_Process_Analysis_Excel.xlsx]Vendor_ranking!PIVOT_Q3_Vendor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Vendor</a:t>
            </a:r>
            <a:r>
              <a:rPr lang="pl-PL" baseline="0"/>
              <a:t> results</a:t>
            </a:r>
            <a:endParaRPr lang="en-GB"/>
          </a:p>
        </c:rich>
      </c:tx>
      <c:layout>
        <c:manualLayout>
          <c:xMode val="edge"/>
          <c:yMode val="edge"/>
          <c:x val="0.44821208168663734"/>
          <c:y val="9.2092996336140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2225" cap="rnd">
            <a:solidFill>
              <a:schemeClr val="accent3"/>
            </a:solidFill>
            <a:prstDash val="solid"/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12700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 cap="rnd">
            <a:solidFill>
              <a:schemeClr val="accent3"/>
            </a:solidFill>
            <a:prstDash val="solid"/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12700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>
            <a:solidFill>
              <a:schemeClr val="accent3"/>
            </a:solidFill>
            <a:prstDash val="solid"/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12700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67176572851065"/>
          <c:y val="0.17222659496590179"/>
          <c:w val="0.79411960310194629"/>
          <c:h val="0.484365808035053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Vendor_ranking!$J$5</c:f>
              <c:strCache>
                <c:ptCount val="1"/>
                <c:pt idx="0">
                  <c:v>Delay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Vendor_ranking!$I$6:$I$36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Vendor_ranking!$J$6:$J$36</c:f>
              <c:numCache>
                <c:formatCode>General</c:formatCode>
                <c:ptCount val="15"/>
                <c:pt idx="0">
                  <c:v>4175</c:v>
                </c:pt>
                <c:pt idx="1">
                  <c:v>3566</c:v>
                </c:pt>
                <c:pt idx="2">
                  <c:v>2673</c:v>
                </c:pt>
                <c:pt idx="3">
                  <c:v>2351</c:v>
                </c:pt>
                <c:pt idx="4">
                  <c:v>1999</c:v>
                </c:pt>
                <c:pt idx="5">
                  <c:v>1633</c:v>
                </c:pt>
                <c:pt idx="6">
                  <c:v>1065</c:v>
                </c:pt>
                <c:pt idx="7">
                  <c:v>907</c:v>
                </c:pt>
                <c:pt idx="8">
                  <c:v>601</c:v>
                </c:pt>
                <c:pt idx="9">
                  <c:v>507</c:v>
                </c:pt>
                <c:pt idx="10">
                  <c:v>461</c:v>
                </c:pt>
                <c:pt idx="11">
                  <c:v>456</c:v>
                </c:pt>
                <c:pt idx="12">
                  <c:v>437</c:v>
                </c:pt>
                <c:pt idx="13">
                  <c:v>419</c:v>
                </c:pt>
                <c:pt idx="14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9-4700-A491-643EDA292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38900376"/>
        <c:axId val="1038902536"/>
      </c:barChart>
      <c:lineChart>
        <c:grouping val="standard"/>
        <c:varyColors val="0"/>
        <c:ser>
          <c:idx val="1"/>
          <c:order val="1"/>
          <c:tx>
            <c:strRef>
              <c:f>Vendor_ranking!$K$5</c:f>
              <c:strCache>
                <c:ptCount val="1"/>
                <c:pt idx="0">
                  <c:v>Impact Share</c:v>
                </c:pt>
              </c:strCache>
            </c:strRef>
          </c:tx>
          <c:spPr>
            <a:ln w="2222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12700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multiLvlStrRef>
              <c:f>Vendor_ranking!$I$6:$I$36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Vendor_ranking!$K$6:$K$36</c:f>
              <c:numCache>
                <c:formatCode>General</c:formatCode>
                <c:ptCount val="15"/>
                <c:pt idx="0">
                  <c:v>9.9499999999999993</c:v>
                </c:pt>
                <c:pt idx="1">
                  <c:v>8.5</c:v>
                </c:pt>
                <c:pt idx="2">
                  <c:v>6.37</c:v>
                </c:pt>
                <c:pt idx="3">
                  <c:v>5.6</c:v>
                </c:pt>
                <c:pt idx="4">
                  <c:v>4.7699999999999996</c:v>
                </c:pt>
                <c:pt idx="5">
                  <c:v>3.89</c:v>
                </c:pt>
                <c:pt idx="6">
                  <c:v>2.54</c:v>
                </c:pt>
                <c:pt idx="7">
                  <c:v>2.16</c:v>
                </c:pt>
                <c:pt idx="8">
                  <c:v>1.43</c:v>
                </c:pt>
                <c:pt idx="9">
                  <c:v>1.21</c:v>
                </c:pt>
                <c:pt idx="10">
                  <c:v>1.1000000000000001</c:v>
                </c:pt>
                <c:pt idx="11">
                  <c:v>1.0900000000000001</c:v>
                </c:pt>
                <c:pt idx="12">
                  <c:v>1.04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F9-4700-A491-643EDA292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229064"/>
        <c:axId val="1178223664"/>
      </c:lineChart>
      <c:catAx>
        <c:axId val="1038900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Vendor Key with rank number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02536"/>
        <c:crosses val="autoZero"/>
        <c:auto val="1"/>
        <c:lblAlgn val="ctr"/>
        <c:lblOffset val="100"/>
        <c:noMultiLvlLbl val="0"/>
      </c:catAx>
      <c:valAx>
        <c:axId val="103890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Number of Cases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00376"/>
        <c:crosses val="autoZero"/>
        <c:crossBetween val="between"/>
      </c:valAx>
      <c:valAx>
        <c:axId val="1178223664"/>
        <c:scaling>
          <c:orientation val="minMax"/>
          <c:max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Impact</a:t>
                </a:r>
                <a:r>
                  <a:rPr lang="pl-PL" baseline="0"/>
                  <a:t> Share - Ratio [%]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96627241894516402"/>
              <c:y val="0.247499463345093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29064"/>
        <c:crosses val="max"/>
        <c:crossBetween val="between"/>
      </c:valAx>
      <c:catAx>
        <c:axId val="1178229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8223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5372682783788915"/>
          <c:y val="0.87323192849004572"/>
          <c:w val="0.5399153814120019"/>
          <c:h val="0.113461506706810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[P2P_Process_Analysis_Excel.xlsx]Vendor_ranking!PIVOT_Q3_Vendor_Delay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Delay</a:t>
            </a:r>
            <a:r>
              <a:rPr lang="pl-PL" baseline="0"/>
              <a:t> Ratio per Vendor</a:t>
            </a:r>
            <a:endParaRPr lang="en-GB"/>
          </a:p>
        </c:rich>
      </c:tx>
      <c:layout>
        <c:manualLayout>
          <c:xMode val="edge"/>
          <c:yMode val="edge"/>
          <c:x val="0.37040619056557972"/>
          <c:y val="3.032588251920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>
            <a:gsLst>
              <a:gs pos="25000">
                <a:schemeClr val="accent1"/>
              </a:gs>
              <a:gs pos="100000">
                <a:schemeClr val="accent1"/>
              </a:gs>
            </a:gsLst>
            <a:lin ang="5400000" scaled="1"/>
          </a:gra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3">
                <a:alpha val="85000"/>
              </a:schemeClr>
            </a:solidFill>
            <a:prstDash val="dash"/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>
                  <a:lumMod val="75000"/>
                  <a:alpha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pct70">
            <a:fgClr>
              <a:schemeClr val="accent2"/>
            </a:fgClr>
            <a:bgClr>
              <a:schemeClr val="bg1"/>
            </a:bgClr>
          </a:pattFill>
          <a:ln>
            <a:solidFill>
              <a:schemeClr val="accent3">
                <a:alpha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877748240627976E-2"/>
          <c:y val="0.11115720917125256"/>
          <c:w val="0.81832574859725626"/>
          <c:h val="0.638204321823604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Vendor_ranking!$J$40</c:f>
              <c:strCache>
                <c:ptCount val="1"/>
                <c:pt idx="0">
                  <c:v>Total cases</c:v>
                </c:pt>
              </c:strCache>
            </c:strRef>
          </c:tx>
          <c:spPr>
            <a:gradFill>
              <a:gsLst>
                <a:gs pos="25000">
                  <a:schemeClr val="accent1"/>
                </a:gs>
                <a:gs pos="100000">
                  <a:schemeClr val="accent1"/>
                </a:gs>
              </a:gsLst>
              <a:lin ang="5400000" scaled="1"/>
            </a:gradFill>
            <a:ln>
              <a:solidFill>
                <a:schemeClr val="accent3"/>
              </a:solidFill>
            </a:ln>
            <a:effectLst/>
          </c:spPr>
          <c:invertIfNegative val="0"/>
          <c:cat>
            <c:multiLvlStrRef>
              <c:f>Vendor_ranking!$I$41:$I$71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Vendor_ranking!$J$41:$J$71</c:f>
              <c:numCache>
                <c:formatCode>General</c:formatCode>
                <c:ptCount val="15"/>
                <c:pt idx="0">
                  <c:v>4195</c:v>
                </c:pt>
                <c:pt idx="1">
                  <c:v>4406</c:v>
                </c:pt>
                <c:pt idx="2">
                  <c:v>3477</c:v>
                </c:pt>
                <c:pt idx="3">
                  <c:v>2827</c:v>
                </c:pt>
                <c:pt idx="4">
                  <c:v>2000</c:v>
                </c:pt>
                <c:pt idx="5">
                  <c:v>1633</c:v>
                </c:pt>
                <c:pt idx="6">
                  <c:v>1782</c:v>
                </c:pt>
                <c:pt idx="7">
                  <c:v>962</c:v>
                </c:pt>
                <c:pt idx="8">
                  <c:v>1116</c:v>
                </c:pt>
                <c:pt idx="9">
                  <c:v>1299</c:v>
                </c:pt>
                <c:pt idx="10">
                  <c:v>637</c:v>
                </c:pt>
                <c:pt idx="11">
                  <c:v>1892</c:v>
                </c:pt>
                <c:pt idx="12">
                  <c:v>439</c:v>
                </c:pt>
                <c:pt idx="13">
                  <c:v>436</c:v>
                </c:pt>
                <c:pt idx="14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B-4FD9-9572-17D21811FA72}"/>
            </c:ext>
          </c:extLst>
        </c:ser>
        <c:ser>
          <c:idx val="1"/>
          <c:order val="1"/>
          <c:tx>
            <c:strRef>
              <c:f>Vendor_ranking!$K$40</c:f>
              <c:strCache>
                <c:ptCount val="1"/>
                <c:pt idx="0">
                  <c:v>Delay cases</c:v>
                </c:pt>
              </c:strCache>
            </c:strRef>
          </c:tx>
          <c:spPr>
            <a:pattFill prst="pct70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3">
                  <a:alpha val="50000"/>
                </a:schemeClr>
              </a:solidFill>
            </a:ln>
            <a:effectLst/>
          </c:spPr>
          <c:invertIfNegative val="0"/>
          <c:cat>
            <c:multiLvlStrRef>
              <c:f>Vendor_ranking!$I$41:$I$71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Vendor_ranking!$K$41:$K$71</c:f>
              <c:numCache>
                <c:formatCode>General</c:formatCode>
                <c:ptCount val="15"/>
                <c:pt idx="0">
                  <c:v>4175</c:v>
                </c:pt>
                <c:pt idx="1">
                  <c:v>3566</c:v>
                </c:pt>
                <c:pt idx="2">
                  <c:v>2673</c:v>
                </c:pt>
                <c:pt idx="3">
                  <c:v>2351</c:v>
                </c:pt>
                <c:pt idx="4">
                  <c:v>1999</c:v>
                </c:pt>
                <c:pt idx="5">
                  <c:v>1633</c:v>
                </c:pt>
                <c:pt idx="6">
                  <c:v>1065</c:v>
                </c:pt>
                <c:pt idx="7">
                  <c:v>907</c:v>
                </c:pt>
                <c:pt idx="8">
                  <c:v>601</c:v>
                </c:pt>
                <c:pt idx="9">
                  <c:v>507</c:v>
                </c:pt>
                <c:pt idx="10">
                  <c:v>461</c:v>
                </c:pt>
                <c:pt idx="11">
                  <c:v>456</c:v>
                </c:pt>
                <c:pt idx="12">
                  <c:v>437</c:v>
                </c:pt>
                <c:pt idx="13">
                  <c:v>419</c:v>
                </c:pt>
                <c:pt idx="14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FB-4FD9-9572-17D21811F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3853312"/>
        <c:axId val="913850792"/>
      </c:barChart>
      <c:lineChart>
        <c:grouping val="standard"/>
        <c:varyColors val="0"/>
        <c:ser>
          <c:idx val="2"/>
          <c:order val="2"/>
          <c:tx>
            <c:strRef>
              <c:f>Vendor_ranking!$L$40</c:f>
              <c:strCache>
                <c:ptCount val="1"/>
                <c:pt idx="0">
                  <c:v>Delayed Ratio</c:v>
                </c:pt>
              </c:strCache>
            </c:strRef>
          </c:tx>
          <c:spPr>
            <a:ln w="22225" cap="rnd">
              <a:solidFill>
                <a:schemeClr val="accent3">
                  <a:alpha val="85000"/>
                </a:schemeClr>
              </a:solidFill>
              <a:prstDash val="dash"/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>
                    <a:lumMod val="75000"/>
                    <a:alpha val="80000"/>
                  </a:schemeClr>
                </a:solidFill>
              </a:ln>
              <a:effectLst/>
            </c:spPr>
          </c:marker>
          <c:cat>
            <c:multiLvlStrRef>
              <c:f>Vendor_ranking!$I$41:$I$71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Vendor_ranking!$L$41:$L$71</c:f>
              <c:numCache>
                <c:formatCode>General</c:formatCode>
                <c:ptCount val="15"/>
                <c:pt idx="0">
                  <c:v>99.52</c:v>
                </c:pt>
                <c:pt idx="1">
                  <c:v>80.94</c:v>
                </c:pt>
                <c:pt idx="2">
                  <c:v>76.88</c:v>
                </c:pt>
                <c:pt idx="3">
                  <c:v>83.16</c:v>
                </c:pt>
                <c:pt idx="4">
                  <c:v>99.95</c:v>
                </c:pt>
                <c:pt idx="5">
                  <c:v>100</c:v>
                </c:pt>
                <c:pt idx="6">
                  <c:v>59.76</c:v>
                </c:pt>
                <c:pt idx="7">
                  <c:v>94.28</c:v>
                </c:pt>
                <c:pt idx="8">
                  <c:v>53.85</c:v>
                </c:pt>
                <c:pt idx="9">
                  <c:v>39.03</c:v>
                </c:pt>
                <c:pt idx="10">
                  <c:v>72.37</c:v>
                </c:pt>
                <c:pt idx="11">
                  <c:v>24.1</c:v>
                </c:pt>
                <c:pt idx="12">
                  <c:v>99.54</c:v>
                </c:pt>
                <c:pt idx="13">
                  <c:v>96.1</c:v>
                </c:pt>
                <c:pt idx="14">
                  <c:v>87.34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FB-4FD9-9572-17D21811F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677496"/>
        <c:axId val="1327678216"/>
      </c:lineChart>
      <c:catAx>
        <c:axId val="913853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Vendor Key with rank number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50792"/>
        <c:crosses val="autoZero"/>
        <c:auto val="1"/>
        <c:lblAlgn val="ctr"/>
        <c:lblOffset val="100"/>
        <c:noMultiLvlLbl val="0"/>
      </c:catAx>
      <c:valAx>
        <c:axId val="91385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53312"/>
        <c:crosses val="autoZero"/>
        <c:crossBetween val="between"/>
      </c:valAx>
      <c:valAx>
        <c:axId val="1327678216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Delay Ratio [%]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77496"/>
        <c:crosses val="max"/>
        <c:crossBetween val="between"/>
      </c:valAx>
      <c:catAx>
        <c:axId val="1327677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7678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161333357949355"/>
          <c:y val="0.85720529384258826"/>
          <c:w val="0.38424133963158441"/>
          <c:h val="0.13409211065029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[P2P_Process_Analysis_Excel.xlsx]Vendor_duaration!PIVOT_Q3_Vendor_duaration</c:name>
    <c:fmtId val="6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rgbClr val="003366"/>
                </a:solidFill>
              </a:rPr>
              <a:t>IR → CI Median Duration by Vendor (SLA vs Delayed</a:t>
            </a: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)</a:t>
            </a:r>
            <a:endParaRPr lang="en-GB"/>
          </a:p>
        </c:rich>
      </c:tx>
      <c:layout>
        <c:manualLayout>
          <c:xMode val="edge"/>
          <c:yMode val="edge"/>
          <c:x val="0.31154325436741459"/>
          <c:y val="3.3425602873326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noFill/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511269342161889E-2"/>
          <c:y val="0.16910995122912198"/>
          <c:w val="0.88933643283144714"/>
          <c:h val="0.4807695042689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Vendor_duaration!$K$5:$K$7</c:f>
              <c:strCache>
                <c:ptCount val="1"/>
                <c:pt idx="0">
                  <c:v>SLA - Median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Vendor_duaration!$J$8:$J$37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Vendor_duaration!$K$8:$K$37</c:f>
              <c:numCache>
                <c:formatCode>General</c:formatCode>
                <c:ptCount val="15"/>
                <c:pt idx="0">
                  <c:v>16</c:v>
                </c:pt>
                <c:pt idx="1">
                  <c:v>39</c:v>
                </c:pt>
                <c:pt idx="2">
                  <c:v>59</c:v>
                </c:pt>
                <c:pt idx="3">
                  <c:v>38</c:v>
                </c:pt>
                <c:pt idx="4">
                  <c:v>3</c:v>
                </c:pt>
                <c:pt idx="6">
                  <c:v>23</c:v>
                </c:pt>
                <c:pt idx="7">
                  <c:v>28</c:v>
                </c:pt>
                <c:pt idx="8">
                  <c:v>14</c:v>
                </c:pt>
                <c:pt idx="9">
                  <c:v>24</c:v>
                </c:pt>
                <c:pt idx="10">
                  <c:v>46</c:v>
                </c:pt>
                <c:pt idx="11">
                  <c:v>7</c:v>
                </c:pt>
                <c:pt idx="12">
                  <c:v>0</c:v>
                </c:pt>
                <c:pt idx="13">
                  <c:v>63</c:v>
                </c:pt>
                <c:pt idx="1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1-4CBC-9D0F-AF8A8B03B004}"/>
            </c:ext>
          </c:extLst>
        </c:ser>
        <c:ser>
          <c:idx val="2"/>
          <c:order val="2"/>
          <c:tx>
            <c:strRef>
              <c:f>Vendor_duaration!$M$5:$M$7</c:f>
              <c:strCache>
                <c:ptCount val="1"/>
                <c:pt idx="0">
                  <c:v>Non-SLA - Median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Vendor_duaration!$J$8:$J$37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Vendor_duaration!$M$8:$M$37</c:f>
              <c:numCache>
                <c:formatCode>General</c:formatCode>
                <c:ptCount val="15"/>
                <c:pt idx="0">
                  <c:v>105</c:v>
                </c:pt>
                <c:pt idx="1">
                  <c:v>90</c:v>
                </c:pt>
                <c:pt idx="2">
                  <c:v>73</c:v>
                </c:pt>
                <c:pt idx="3">
                  <c:v>74</c:v>
                </c:pt>
                <c:pt idx="4">
                  <c:v>86</c:v>
                </c:pt>
                <c:pt idx="5">
                  <c:v>101</c:v>
                </c:pt>
                <c:pt idx="6">
                  <c:v>34</c:v>
                </c:pt>
                <c:pt idx="7">
                  <c:v>49</c:v>
                </c:pt>
                <c:pt idx="8">
                  <c:v>24</c:v>
                </c:pt>
                <c:pt idx="9">
                  <c:v>22</c:v>
                </c:pt>
                <c:pt idx="10">
                  <c:v>60</c:v>
                </c:pt>
                <c:pt idx="11">
                  <c:v>21</c:v>
                </c:pt>
                <c:pt idx="12">
                  <c:v>67</c:v>
                </c:pt>
                <c:pt idx="13">
                  <c:v>55</c:v>
                </c:pt>
                <c:pt idx="1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F1-4CBC-9D0F-AF8A8B03B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0698208"/>
        <c:axId val="1034929328"/>
      </c:barChart>
      <c:lineChart>
        <c:grouping val="standard"/>
        <c:varyColors val="0"/>
        <c:ser>
          <c:idx val="1"/>
          <c:order val="1"/>
          <c:tx>
            <c:strRef>
              <c:f>Vendor_duaration!$L$5:$L$7</c:f>
              <c:strCache>
                <c:ptCount val="1"/>
                <c:pt idx="0">
                  <c:v>SLA - Median duration of on-time cases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multiLvlStrRef>
              <c:f>Vendor_duaration!$J$8:$J$37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Vendor_duaration!$L$8:$L$37</c:f>
              <c:numCache>
                <c:formatCode>General</c:formatCode>
                <c:ptCount val="15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F1-4CBC-9D0F-AF8A8B03B004}"/>
            </c:ext>
          </c:extLst>
        </c:ser>
        <c:ser>
          <c:idx val="3"/>
          <c:order val="3"/>
          <c:tx>
            <c:strRef>
              <c:f>Vendor_duaration!$N$5:$N$7</c:f>
              <c:strCache>
                <c:ptCount val="1"/>
                <c:pt idx="0">
                  <c:v>Non-SLA - Median duration of on-time cases</c:v>
                </c:pt>
              </c:strCache>
            </c:strRef>
          </c:tx>
          <c:spPr>
            <a:ln w="22225" cap="rnd">
              <a:noFill/>
              <a:prstDash val="dash"/>
              <a:round/>
            </a:ln>
            <a:effectLst/>
          </c:spPr>
          <c:marker>
            <c:symbol val="none"/>
          </c:marker>
          <c:cat>
            <c:multiLvlStrRef>
              <c:f>Vendor_duaration!$J$8:$J$37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Vendor_duaration!$N$8:$N$37</c:f>
              <c:numCache>
                <c:formatCode>General</c:formatCode>
                <c:ptCount val="15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F1-4CBC-9D0F-AF8A8B03B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698208"/>
        <c:axId val="1034929328"/>
      </c:lineChart>
      <c:catAx>
        <c:axId val="1170698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Vendor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Key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with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rank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929328"/>
        <c:crosses val="autoZero"/>
        <c:auto val="1"/>
        <c:lblAlgn val="ctr"/>
        <c:lblOffset val="100"/>
        <c:noMultiLvlLbl val="0"/>
      </c:catAx>
      <c:valAx>
        <c:axId val="103492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Days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69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3785414767315245"/>
          <c:y val="0.81916928851616755"/>
          <c:w val="0.57644823611418461"/>
          <c:h val="0.160331035165704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[P2P_Process_Analysis_Excel.xlsx]Vendor_bottleneck!PIVOT_SQL_Q3_Vendor_bottleneck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rgbClr val="003366"/>
                </a:solidFill>
              </a:rPr>
              <a:t>IR → CI Contribution to Delay by Vendor</a:t>
            </a: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 </a:t>
            </a:r>
            <a:endParaRPr lang="en-US" sz="1400" b="1" i="0" u="none" strike="noStrike" kern="1200" spc="0" baseline="0" dirty="0">
              <a:solidFill>
                <a:srgbClr val="003366"/>
              </a:solidFill>
            </a:endParaRPr>
          </a:p>
        </c:rich>
      </c:tx>
      <c:layout>
        <c:manualLayout>
          <c:xMode val="edge"/>
          <c:yMode val="edge"/>
          <c:x val="0.30329708055088178"/>
          <c:y val="5.3673172949815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3"/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2225" cap="rnd">
            <a:solidFill>
              <a:schemeClr val="accent1"/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accent4"/>
            </a:solidFill>
            <a:prstDash val="dash"/>
            <a:round/>
          </a:ln>
          <a:effectLst/>
        </c:spPr>
        <c:marker>
          <c:symbol val="diamond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977231921860338E-2"/>
          <c:y val="0.17101418156239714"/>
          <c:w val="0.88583526322908346"/>
          <c:h val="0.55782222618780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Vendor_bottleneck!$I$5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Vendor_bottleneck!$H$6:$H$35</c:f>
              <c:multiLvlStrCache>
                <c:ptCount val="15"/>
                <c:lvl>
                  <c:pt idx="0">
                    <c:v>196</c:v>
                  </c:pt>
                  <c:pt idx="1">
                    <c:v>1294</c:v>
                  </c:pt>
                  <c:pt idx="2">
                    <c:v>1696</c:v>
                  </c:pt>
                  <c:pt idx="3">
                    <c:v>24</c:v>
                  </c:pt>
                  <c:pt idx="4">
                    <c:v>789</c:v>
                  </c:pt>
                  <c:pt idx="5">
                    <c:v>531</c:v>
                  </c:pt>
                  <c:pt idx="6">
                    <c:v>739</c:v>
                  </c:pt>
                  <c:pt idx="7">
                    <c:v>4</c:v>
                  </c:pt>
                  <c:pt idx="8">
                    <c:v>1468</c:v>
                  </c:pt>
                  <c:pt idx="9">
                    <c:v>995</c:v>
                  </c:pt>
                  <c:pt idx="10">
                    <c:v>1501</c:v>
                  </c:pt>
                  <c:pt idx="11">
                    <c:v>1236</c:v>
                  </c:pt>
                  <c:pt idx="12">
                    <c:v>968</c:v>
                  </c:pt>
                  <c:pt idx="13">
                    <c:v>166</c:v>
                  </c:pt>
                  <c:pt idx="14">
                    <c:v>921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Vendor_bottleneck!$I$6:$I$35</c:f>
              <c:numCache>
                <c:formatCode>0</c:formatCode>
                <c:ptCount val="15"/>
                <c:pt idx="0">
                  <c:v>84.17</c:v>
                </c:pt>
                <c:pt idx="1">
                  <c:v>81.900000000000006</c:v>
                </c:pt>
                <c:pt idx="2">
                  <c:v>84.62</c:v>
                </c:pt>
                <c:pt idx="3">
                  <c:v>80.22</c:v>
                </c:pt>
                <c:pt idx="4">
                  <c:v>82.79</c:v>
                </c:pt>
                <c:pt idx="5">
                  <c:v>91.92</c:v>
                </c:pt>
                <c:pt idx="6">
                  <c:v>40</c:v>
                </c:pt>
                <c:pt idx="7">
                  <c:v>51.77</c:v>
                </c:pt>
                <c:pt idx="8">
                  <c:v>27.38</c:v>
                </c:pt>
                <c:pt idx="9">
                  <c:v>27.16</c:v>
                </c:pt>
                <c:pt idx="10">
                  <c:v>68.180000000000007</c:v>
                </c:pt>
                <c:pt idx="11">
                  <c:v>27.27</c:v>
                </c:pt>
                <c:pt idx="12">
                  <c:v>69.150000000000006</c:v>
                </c:pt>
                <c:pt idx="13">
                  <c:v>60</c:v>
                </c:pt>
                <c:pt idx="14">
                  <c:v>59.04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F-4E69-8BC9-F09C768EB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4629952"/>
        <c:axId val="1174629592"/>
      </c:barChart>
      <c:catAx>
        <c:axId val="1174629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Vendor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Key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with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rank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29592"/>
        <c:crosses val="autoZero"/>
        <c:auto val="1"/>
        <c:lblAlgn val="ctr"/>
        <c:lblOffset val="100"/>
        <c:noMultiLvlLbl val="0"/>
      </c:catAx>
      <c:valAx>
        <c:axId val="117462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 dirty="0">
                    <a:solidFill>
                      <a:srgbClr val="003366"/>
                    </a:solidFill>
                  </a:rPr>
                  <a:t>Share of Lead Time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2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[P2P_Process_Analysis_Excel.xlsx]Spend_area_ranking!PIVOT_Q3_Spend_area_ranking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rgbClr val="003366"/>
                </a:solidFill>
              </a:rPr>
              <a:t>IR → CI Median Duration by Vendor (SLA vs Delayed)</a:t>
            </a:r>
          </a:p>
        </c:rich>
      </c:tx>
      <c:layout>
        <c:manualLayout>
          <c:xMode val="edge"/>
          <c:yMode val="edge"/>
          <c:x val="0.27217289942646472"/>
          <c:y val="1.3986269269726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19628697341889"/>
          <c:y val="0.13594121611946763"/>
          <c:w val="0.81038699572063189"/>
          <c:h val="0.497585595527880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Spend_area_ranking!$K$4</c:f>
              <c:strCache>
                <c:ptCount val="1"/>
                <c:pt idx="0">
                  <c:v>Delay cases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Spend_area_ranking!$J$5:$J$24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Spend_area_ranking!$K$5:$K$24</c:f>
              <c:numCache>
                <c:formatCode>General</c:formatCode>
                <c:ptCount val="10"/>
                <c:pt idx="0">
                  <c:v>12270</c:v>
                </c:pt>
                <c:pt idx="1">
                  <c:v>5033</c:v>
                </c:pt>
                <c:pt idx="2">
                  <c:v>4685</c:v>
                </c:pt>
                <c:pt idx="3">
                  <c:v>4077</c:v>
                </c:pt>
                <c:pt idx="4">
                  <c:v>2058</c:v>
                </c:pt>
                <c:pt idx="5">
                  <c:v>2030</c:v>
                </c:pt>
                <c:pt idx="6">
                  <c:v>1916</c:v>
                </c:pt>
                <c:pt idx="7">
                  <c:v>578</c:v>
                </c:pt>
                <c:pt idx="8">
                  <c:v>528</c:v>
                </c:pt>
                <c:pt idx="9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3-4E53-B608-BE8E7ECAC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4576184"/>
        <c:axId val="383222880"/>
      </c:barChart>
      <c:lineChart>
        <c:grouping val="standard"/>
        <c:varyColors val="0"/>
        <c:ser>
          <c:idx val="1"/>
          <c:order val="1"/>
          <c:tx>
            <c:strRef>
              <c:f>Spend_area_ranking!$L$4</c:f>
              <c:strCache>
                <c:ptCount val="1"/>
                <c:pt idx="0">
                  <c:v>Impact Share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multiLvlStrRef>
              <c:f>Spend_area_ranking!$J$5:$J$24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Spend_area_ranking!$L$5:$L$24</c:f>
              <c:numCache>
                <c:formatCode>General</c:formatCode>
                <c:ptCount val="10"/>
                <c:pt idx="0">
                  <c:v>29.25</c:v>
                </c:pt>
                <c:pt idx="1">
                  <c:v>12</c:v>
                </c:pt>
                <c:pt idx="2">
                  <c:v>11.17</c:v>
                </c:pt>
                <c:pt idx="3">
                  <c:v>9.7200000000000006</c:v>
                </c:pt>
                <c:pt idx="4">
                  <c:v>4.91</c:v>
                </c:pt>
                <c:pt idx="5">
                  <c:v>4.84</c:v>
                </c:pt>
                <c:pt idx="6">
                  <c:v>4.57</c:v>
                </c:pt>
                <c:pt idx="7">
                  <c:v>1.38</c:v>
                </c:pt>
                <c:pt idx="8">
                  <c:v>1.26</c:v>
                </c:pt>
                <c:pt idx="9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43-4E53-B608-BE8E7ECAC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209984"/>
        <c:axId val="1178218984"/>
      </c:lineChart>
      <c:catAx>
        <c:axId val="914576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Spend Area 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with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rank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222880"/>
        <c:crosses val="autoZero"/>
        <c:auto val="1"/>
        <c:lblAlgn val="ctr"/>
        <c:lblOffset val="100"/>
        <c:noMultiLvlLbl val="0"/>
      </c:catAx>
      <c:valAx>
        <c:axId val="38322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576184"/>
        <c:crosses val="autoZero"/>
        <c:crossBetween val="between"/>
      </c:valAx>
      <c:valAx>
        <c:axId val="1178218984"/>
        <c:scaling>
          <c:orientation val="minMax"/>
          <c:max val="3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Impact Share - Ratio [%]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09984"/>
        <c:crosses val="max"/>
        <c:crossBetween val="between"/>
      </c:valAx>
      <c:catAx>
        <c:axId val="1178209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8218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5180284216112276"/>
          <c:y val="0.80896723092020939"/>
          <c:w val="0.52680599300087494"/>
          <c:h val="0.168646713754185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[P2P_Process_Analysis_Excel.xlsx]Spend_area_ranking!PIVOT_Q3_Spend_area_delay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kern="1200" spc="0" baseline="0" dirty="0" err="1">
                <a:solidFill>
                  <a:srgbClr val="003366"/>
                </a:solidFill>
              </a:rPr>
              <a:t>Delay</a:t>
            </a: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 Ratio per Spend Area</a:t>
            </a:r>
            <a:endParaRPr lang="en-GB" sz="1400" b="1" i="0" u="none" strike="noStrike" kern="1200" spc="0" baseline="0" dirty="0">
              <a:solidFill>
                <a:srgbClr val="003366"/>
              </a:solidFill>
            </a:endParaRPr>
          </a:p>
        </c:rich>
      </c:tx>
      <c:layout>
        <c:manualLayout>
          <c:xMode val="edge"/>
          <c:yMode val="edge"/>
          <c:x val="0.42326089012605084"/>
          <c:y val="4.6617730018141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trellis">
            <a:fgClr>
              <a:schemeClr val="accent2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trellis">
            <a:fgClr>
              <a:schemeClr val="accent2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trellis">
            <a:fgClr>
              <a:schemeClr val="accent2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70726428758202"/>
          <c:y val="0.13084646078653273"/>
          <c:w val="0.79552266485172296"/>
          <c:h val="0.526689871170768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Spend_area_ranking!$K$27</c:f>
              <c:strCache>
                <c:ptCount val="1"/>
                <c:pt idx="0">
                  <c:v>Total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Spend_area_ranking!$J$28:$J$47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Spend_area_ranking!$K$28:$K$47</c:f>
              <c:numCache>
                <c:formatCode>General</c:formatCode>
                <c:ptCount val="10"/>
                <c:pt idx="0">
                  <c:v>15803</c:v>
                </c:pt>
                <c:pt idx="1">
                  <c:v>6828</c:v>
                </c:pt>
                <c:pt idx="2">
                  <c:v>25882</c:v>
                </c:pt>
                <c:pt idx="3">
                  <c:v>5616</c:v>
                </c:pt>
                <c:pt idx="4">
                  <c:v>7255</c:v>
                </c:pt>
                <c:pt idx="5">
                  <c:v>2479</c:v>
                </c:pt>
                <c:pt idx="6">
                  <c:v>2395</c:v>
                </c:pt>
                <c:pt idx="7">
                  <c:v>778</c:v>
                </c:pt>
                <c:pt idx="8">
                  <c:v>847</c:v>
                </c:pt>
                <c:pt idx="9">
                  <c:v>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7-4CBE-89F7-9B2BE25B112C}"/>
            </c:ext>
          </c:extLst>
        </c:ser>
        <c:ser>
          <c:idx val="1"/>
          <c:order val="1"/>
          <c:tx>
            <c:strRef>
              <c:f>Spend_area_ranking!$L$27</c:f>
              <c:strCache>
                <c:ptCount val="1"/>
                <c:pt idx="0">
                  <c:v>Sum of Delay_cases</c:v>
                </c:pt>
              </c:strCache>
            </c:strRef>
          </c:tx>
          <c:spPr>
            <a:pattFill prst="trellis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multiLvlStrRef>
              <c:f>Spend_area_ranking!$J$28:$J$47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Spend_area_ranking!$L$28:$L$47</c:f>
              <c:numCache>
                <c:formatCode>General</c:formatCode>
                <c:ptCount val="10"/>
                <c:pt idx="0">
                  <c:v>12270</c:v>
                </c:pt>
                <c:pt idx="1">
                  <c:v>5033</c:v>
                </c:pt>
                <c:pt idx="2">
                  <c:v>4685</c:v>
                </c:pt>
                <c:pt idx="3">
                  <c:v>4077</c:v>
                </c:pt>
                <c:pt idx="4">
                  <c:v>2058</c:v>
                </c:pt>
                <c:pt idx="5">
                  <c:v>2030</c:v>
                </c:pt>
                <c:pt idx="6">
                  <c:v>1916</c:v>
                </c:pt>
                <c:pt idx="7">
                  <c:v>578</c:v>
                </c:pt>
                <c:pt idx="8">
                  <c:v>528</c:v>
                </c:pt>
                <c:pt idx="9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7-4CBE-89F7-9B2BE25B1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1117880"/>
        <c:axId val="1171123280"/>
      </c:barChart>
      <c:lineChart>
        <c:grouping val="standard"/>
        <c:varyColors val="0"/>
        <c:ser>
          <c:idx val="2"/>
          <c:order val="2"/>
          <c:tx>
            <c:strRef>
              <c:f>Spend_area_ranking!$M$27</c:f>
              <c:strCache>
                <c:ptCount val="1"/>
                <c:pt idx="0">
                  <c:v>Delayed Ratio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multiLvlStrRef>
              <c:f>Spend_area_ranking!$J$28:$J$47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Spend_area_ranking!$M$28:$M$47</c:f>
              <c:numCache>
                <c:formatCode>General</c:formatCode>
                <c:ptCount val="10"/>
                <c:pt idx="0">
                  <c:v>77.64</c:v>
                </c:pt>
                <c:pt idx="1">
                  <c:v>73.709999999999994</c:v>
                </c:pt>
                <c:pt idx="2">
                  <c:v>18.100000000000001</c:v>
                </c:pt>
                <c:pt idx="3">
                  <c:v>72.599999999999994</c:v>
                </c:pt>
                <c:pt idx="4">
                  <c:v>28.37</c:v>
                </c:pt>
                <c:pt idx="5">
                  <c:v>81.89</c:v>
                </c:pt>
                <c:pt idx="6">
                  <c:v>80</c:v>
                </c:pt>
                <c:pt idx="7">
                  <c:v>74.290000000000006</c:v>
                </c:pt>
                <c:pt idx="8">
                  <c:v>62.34</c:v>
                </c:pt>
                <c:pt idx="9">
                  <c:v>75.08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57-4CBE-89F7-9B2BE25B1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722040"/>
        <c:axId val="1174539760"/>
      </c:lineChart>
      <c:catAx>
        <c:axId val="1171117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Spend Area 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with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rank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123280"/>
        <c:crosses val="autoZero"/>
        <c:auto val="1"/>
        <c:lblAlgn val="ctr"/>
        <c:lblOffset val="100"/>
        <c:noMultiLvlLbl val="0"/>
      </c:catAx>
      <c:valAx>
        <c:axId val="117112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117880"/>
        <c:crosses val="autoZero"/>
        <c:crossBetween val="between"/>
      </c:valAx>
      <c:valAx>
        <c:axId val="1174539760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Delay Ratio [%]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722040"/>
        <c:crosses val="max"/>
        <c:crossBetween val="between"/>
        <c:majorUnit val="20"/>
      </c:valAx>
      <c:catAx>
        <c:axId val="503722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4539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895320523638468"/>
          <c:y val="0.8607904965319626"/>
          <c:w val="0.4974945616595608"/>
          <c:h val="0.12139940508538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[P2P_Process_Analysis_Excel.xlsx]Spend_area_duaration!PIVOT_Q3_Spend_area_duaration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rgbClr val="003366"/>
                </a:solidFill>
              </a:rPr>
              <a:t>IR → CI Median Duration by </a:t>
            </a: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Spend Area</a:t>
            </a:r>
            <a:r>
              <a:rPr lang="en-GB" sz="1400" b="1" i="0" u="none" strike="noStrike" kern="1200" spc="0" baseline="0" dirty="0">
                <a:solidFill>
                  <a:srgbClr val="003366"/>
                </a:solidFill>
              </a:rPr>
              <a:t> (SLA vs Delayed)</a:t>
            </a:r>
          </a:p>
        </c:rich>
      </c:tx>
      <c:layout>
        <c:manualLayout>
          <c:xMode val="edge"/>
          <c:yMode val="edge"/>
          <c:x val="0.28378359086312316"/>
          <c:y val="3.1009003174796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dkUpDiag">
            <a:fgClr>
              <a:schemeClr val="accent3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prstDash val="dash"/>
            <a:round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dkUpDiag">
            <a:fgClr>
              <a:schemeClr val="accent3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2225" cap="rnd">
            <a:solidFill>
              <a:schemeClr val="accent1"/>
            </a:solidFill>
            <a:prstDash val="dash"/>
            <a:round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dkUpDiag">
            <a:fgClr>
              <a:schemeClr val="accent3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  <a:prstDash val="dash"/>
            <a:round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678503000767789E-2"/>
          <c:y val="0.16202212493997661"/>
          <c:w val="0.93542312344860723"/>
          <c:h val="0.476894877895473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Spend_area_duaration!$M$5:$M$7</c:f>
              <c:strCache>
                <c:ptCount val="1"/>
                <c:pt idx="0">
                  <c:v>SLA - Sum of Median</c:v>
                </c:pt>
              </c:strCache>
            </c:strRef>
          </c:tx>
          <c:spPr>
            <a:pattFill prst="dkUpDiag">
              <a:fgClr>
                <a:schemeClr val="accent3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multiLvlStrRef>
              <c:f>Spend_area_duaration!$L$8:$L$27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Spend_area_duaration!$M$8:$M$27</c:f>
              <c:numCache>
                <c:formatCode>General</c:formatCode>
                <c:ptCount val="10"/>
                <c:pt idx="0">
                  <c:v>36</c:v>
                </c:pt>
                <c:pt idx="1">
                  <c:v>31</c:v>
                </c:pt>
                <c:pt idx="2">
                  <c:v>24</c:v>
                </c:pt>
                <c:pt idx="3">
                  <c:v>50</c:v>
                </c:pt>
                <c:pt idx="4">
                  <c:v>22</c:v>
                </c:pt>
                <c:pt idx="5">
                  <c:v>27</c:v>
                </c:pt>
                <c:pt idx="6">
                  <c:v>36</c:v>
                </c:pt>
                <c:pt idx="7">
                  <c:v>23</c:v>
                </c:pt>
                <c:pt idx="8">
                  <c:v>24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0-4D81-A533-F474EDF572E3}"/>
            </c:ext>
          </c:extLst>
        </c:ser>
        <c:ser>
          <c:idx val="2"/>
          <c:order val="2"/>
          <c:tx>
            <c:strRef>
              <c:f>Spend_area_duaration!$O$5:$O$7</c:f>
              <c:strCache>
                <c:ptCount val="1"/>
                <c:pt idx="0">
                  <c:v>Non-SLA - Sum of 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Spend_area_duaration!$L$8:$L$27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Spend_area_duaration!$O$8:$O$27</c:f>
              <c:numCache>
                <c:formatCode>General</c:formatCode>
                <c:ptCount val="10"/>
                <c:pt idx="0">
                  <c:v>91</c:v>
                </c:pt>
                <c:pt idx="1">
                  <c:v>64</c:v>
                </c:pt>
                <c:pt idx="2">
                  <c:v>37</c:v>
                </c:pt>
                <c:pt idx="3">
                  <c:v>71</c:v>
                </c:pt>
                <c:pt idx="4">
                  <c:v>43</c:v>
                </c:pt>
                <c:pt idx="5">
                  <c:v>80</c:v>
                </c:pt>
                <c:pt idx="6">
                  <c:v>49</c:v>
                </c:pt>
                <c:pt idx="7">
                  <c:v>45</c:v>
                </c:pt>
                <c:pt idx="8">
                  <c:v>59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0-4D81-A533-F474EDF57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5293736"/>
        <c:axId val="1175294456"/>
      </c:barChart>
      <c:lineChart>
        <c:grouping val="standard"/>
        <c:varyColors val="0"/>
        <c:ser>
          <c:idx val="1"/>
          <c:order val="1"/>
          <c:tx>
            <c:strRef>
              <c:f>Spend_area_duaration!$N$5:$N$7</c:f>
              <c:strCache>
                <c:ptCount val="1"/>
                <c:pt idx="0">
                  <c:v>SLA - Median duration of on-time cases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dash"/>
              <a:round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multiLvlStrRef>
              <c:f>Spend_area_duaration!$L$8:$L$27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Spend_area_duaration!$N$8:$N$27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0-4D81-A533-F474EDF572E3}"/>
            </c:ext>
          </c:extLst>
        </c:ser>
        <c:ser>
          <c:idx val="3"/>
          <c:order val="3"/>
          <c:tx>
            <c:strRef>
              <c:f>Spend_area_duaration!$P$5:$P$7</c:f>
              <c:strCache>
                <c:ptCount val="1"/>
                <c:pt idx="0">
                  <c:v>Non-SLA - Median duration of on-time cases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multiLvlStrRef>
              <c:f>Spend_area_duaration!$L$8:$L$27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Spend_area_duaration!$P$8:$P$27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60-4D81-A533-F474EDF57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5293736"/>
        <c:axId val="1175294456"/>
      </c:lineChart>
      <c:catAx>
        <c:axId val="1175293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Spend Area 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with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rank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94456"/>
        <c:crosses val="autoZero"/>
        <c:auto val="1"/>
        <c:lblAlgn val="ctr"/>
        <c:lblOffset val="100"/>
        <c:noMultiLvlLbl val="0"/>
      </c:catAx>
      <c:valAx>
        <c:axId val="117529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Days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9373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323628166431213"/>
          <c:y val="0.80439001483457517"/>
          <c:w val="0.66550327692134381"/>
          <c:h val="0.19166629447754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[P2P_Process_Analysis_Excel.xlsx]Spend_area_bottleneck!PIVOT_Q3_Spend_area_bottleneck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rgbClr val="003366"/>
                </a:solidFill>
              </a:rPr>
              <a:t>IR → CI Contribution to Delay by </a:t>
            </a: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Spend Area </a:t>
            </a:r>
            <a:endParaRPr lang="en-US" sz="1400" b="1" i="0" u="none" strike="noStrike" kern="1200" spc="0" baseline="0" dirty="0">
              <a:solidFill>
                <a:srgbClr val="003366"/>
              </a:solidFill>
            </a:endParaRPr>
          </a:p>
        </c:rich>
      </c:tx>
      <c:layout>
        <c:manualLayout>
          <c:xMode val="edge"/>
          <c:yMode val="edge"/>
          <c:x val="0.23873229573724625"/>
          <c:y val="1.96797354673952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318307397408541E-2"/>
          <c:y val="0.23088567269931068"/>
          <c:w val="0.8900988720477836"/>
          <c:h val="0.491599520317835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Spend_area_bottleneck!$K$5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Spend_area_bottleneck!$J$6:$J$25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Spend_area_bottleneck!$K$6:$K$25</c:f>
              <c:numCache>
                <c:formatCode>General</c:formatCode>
                <c:ptCount val="10"/>
                <c:pt idx="0">
                  <c:v>82.64</c:v>
                </c:pt>
                <c:pt idx="1">
                  <c:v>68.14</c:v>
                </c:pt>
                <c:pt idx="2">
                  <c:v>42.22</c:v>
                </c:pt>
                <c:pt idx="3">
                  <c:v>75</c:v>
                </c:pt>
                <c:pt idx="4">
                  <c:v>39.21</c:v>
                </c:pt>
                <c:pt idx="5">
                  <c:v>75.31</c:v>
                </c:pt>
                <c:pt idx="6">
                  <c:v>54.46</c:v>
                </c:pt>
                <c:pt idx="7">
                  <c:v>44.44</c:v>
                </c:pt>
                <c:pt idx="8">
                  <c:v>58.44</c:v>
                </c:pt>
                <c:pt idx="9">
                  <c:v>51.37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5-47B3-B0FE-61972A838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8217184"/>
        <c:axId val="1178212504"/>
      </c:barChart>
      <c:catAx>
        <c:axId val="1178217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Spend Area 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with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rank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12504"/>
        <c:crosses val="autoZero"/>
        <c:auto val="1"/>
        <c:lblAlgn val="ctr"/>
        <c:lblOffset val="100"/>
        <c:noMultiLvlLbl val="0"/>
      </c:catAx>
      <c:valAx>
        <c:axId val="11782125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 dirty="0">
                    <a:solidFill>
                      <a:srgbClr val="003366"/>
                    </a:solidFill>
                  </a:rPr>
                  <a:t>Share of Lead Time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1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[P2P_Process_Analysis_Excel.xlsx]Spend_area_ranking!PIVOT_Q3_Spend_area_ranking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rgbClr val="003366"/>
                </a:solidFill>
              </a:rPr>
              <a:t>IR → CI Median Duration by Vendor (SLA vs Delayed)</a:t>
            </a:r>
          </a:p>
        </c:rich>
      </c:tx>
      <c:layout>
        <c:manualLayout>
          <c:xMode val="edge"/>
          <c:yMode val="edge"/>
          <c:x val="0.27217289942646472"/>
          <c:y val="1.3986269269726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19628697341889"/>
          <c:y val="0.13594121611946763"/>
          <c:w val="0.81038699572063189"/>
          <c:h val="0.497585595527880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Spend_area_ranking!$K$4</c:f>
              <c:strCache>
                <c:ptCount val="1"/>
                <c:pt idx="0">
                  <c:v>Delay cases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Spend_area_ranking!$J$5:$J$24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Spend_area_ranking!$K$5:$K$24</c:f>
              <c:numCache>
                <c:formatCode>General</c:formatCode>
                <c:ptCount val="10"/>
                <c:pt idx="0">
                  <c:v>12270</c:v>
                </c:pt>
                <c:pt idx="1">
                  <c:v>5033</c:v>
                </c:pt>
                <c:pt idx="2">
                  <c:v>4685</c:v>
                </c:pt>
                <c:pt idx="3">
                  <c:v>4077</c:v>
                </c:pt>
                <c:pt idx="4">
                  <c:v>2058</c:v>
                </c:pt>
                <c:pt idx="5">
                  <c:v>2030</c:v>
                </c:pt>
                <c:pt idx="6">
                  <c:v>1916</c:v>
                </c:pt>
                <c:pt idx="7">
                  <c:v>578</c:v>
                </c:pt>
                <c:pt idx="8">
                  <c:v>528</c:v>
                </c:pt>
                <c:pt idx="9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4-4E63-9CEB-E52C14E58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4576184"/>
        <c:axId val="383222880"/>
      </c:barChart>
      <c:lineChart>
        <c:grouping val="standard"/>
        <c:varyColors val="0"/>
        <c:ser>
          <c:idx val="1"/>
          <c:order val="1"/>
          <c:tx>
            <c:strRef>
              <c:f>Spend_area_ranking!$L$4</c:f>
              <c:strCache>
                <c:ptCount val="1"/>
                <c:pt idx="0">
                  <c:v>Impact Share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multiLvlStrRef>
              <c:f>Spend_area_ranking!$J$5:$J$24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Spend_area_ranking!$L$5:$L$24</c:f>
              <c:numCache>
                <c:formatCode>General</c:formatCode>
                <c:ptCount val="10"/>
                <c:pt idx="0">
                  <c:v>29.25</c:v>
                </c:pt>
                <c:pt idx="1">
                  <c:v>12</c:v>
                </c:pt>
                <c:pt idx="2">
                  <c:v>11.17</c:v>
                </c:pt>
                <c:pt idx="3">
                  <c:v>9.7200000000000006</c:v>
                </c:pt>
                <c:pt idx="4">
                  <c:v>4.91</c:v>
                </c:pt>
                <c:pt idx="5">
                  <c:v>4.84</c:v>
                </c:pt>
                <c:pt idx="6">
                  <c:v>4.57</c:v>
                </c:pt>
                <c:pt idx="7">
                  <c:v>1.38</c:v>
                </c:pt>
                <c:pt idx="8">
                  <c:v>1.26</c:v>
                </c:pt>
                <c:pt idx="9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04-4E63-9CEB-E52C14E58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209984"/>
        <c:axId val="1178218984"/>
      </c:lineChart>
      <c:catAx>
        <c:axId val="914576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Spend Area 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with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rank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222880"/>
        <c:crosses val="autoZero"/>
        <c:auto val="1"/>
        <c:lblAlgn val="ctr"/>
        <c:lblOffset val="100"/>
        <c:noMultiLvlLbl val="0"/>
      </c:catAx>
      <c:valAx>
        <c:axId val="38322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576184"/>
        <c:crosses val="autoZero"/>
        <c:crossBetween val="between"/>
      </c:valAx>
      <c:valAx>
        <c:axId val="1178218984"/>
        <c:scaling>
          <c:orientation val="minMax"/>
          <c:max val="3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Impact Share - Ratio [%]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09984"/>
        <c:crosses val="max"/>
        <c:crossBetween val="between"/>
      </c:valAx>
      <c:catAx>
        <c:axId val="1178209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8218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5180284216112276"/>
          <c:y val="0.80896723092020939"/>
          <c:w val="0.52680599300087494"/>
          <c:h val="0.168646713754185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[P2P_Process_Analysis_Excel.xlsx]Spend_area_ranking!PIVOT_Q3_Spend_area_delay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kern="1200" spc="0" baseline="0" dirty="0" err="1">
                <a:solidFill>
                  <a:srgbClr val="003366"/>
                </a:solidFill>
              </a:rPr>
              <a:t>Delay</a:t>
            </a: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 Ratio per Spend Area</a:t>
            </a:r>
            <a:endParaRPr lang="en-GB" sz="1400" b="1" i="0" u="none" strike="noStrike" kern="1200" spc="0" baseline="0" dirty="0">
              <a:solidFill>
                <a:srgbClr val="003366"/>
              </a:solidFill>
            </a:endParaRPr>
          </a:p>
        </c:rich>
      </c:tx>
      <c:layout>
        <c:manualLayout>
          <c:xMode val="edge"/>
          <c:yMode val="edge"/>
          <c:x val="0.42326089012605084"/>
          <c:y val="4.6617730018141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trellis">
            <a:fgClr>
              <a:schemeClr val="accent2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70726428758202"/>
          <c:y val="0.13084646078653273"/>
          <c:w val="0.79552266485172296"/>
          <c:h val="0.526689871170768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Spend_area_ranking!$K$27</c:f>
              <c:strCache>
                <c:ptCount val="1"/>
                <c:pt idx="0">
                  <c:v>Total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Spend_area_ranking!$J$28:$J$47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Spend_area_ranking!$K$28:$K$47</c:f>
              <c:numCache>
                <c:formatCode>General</c:formatCode>
                <c:ptCount val="10"/>
                <c:pt idx="0">
                  <c:v>15803</c:v>
                </c:pt>
                <c:pt idx="1">
                  <c:v>6828</c:v>
                </c:pt>
                <c:pt idx="2">
                  <c:v>25882</c:v>
                </c:pt>
                <c:pt idx="3">
                  <c:v>5616</c:v>
                </c:pt>
                <c:pt idx="4">
                  <c:v>7255</c:v>
                </c:pt>
                <c:pt idx="5">
                  <c:v>2479</c:v>
                </c:pt>
                <c:pt idx="6">
                  <c:v>2395</c:v>
                </c:pt>
                <c:pt idx="7">
                  <c:v>778</c:v>
                </c:pt>
                <c:pt idx="8">
                  <c:v>847</c:v>
                </c:pt>
                <c:pt idx="9">
                  <c:v>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8-4434-9B32-13EC61D9F8CF}"/>
            </c:ext>
          </c:extLst>
        </c:ser>
        <c:ser>
          <c:idx val="1"/>
          <c:order val="1"/>
          <c:tx>
            <c:strRef>
              <c:f>Spend_area_ranking!$L$27</c:f>
              <c:strCache>
                <c:ptCount val="1"/>
                <c:pt idx="0">
                  <c:v>Sum of Delay_cases</c:v>
                </c:pt>
              </c:strCache>
            </c:strRef>
          </c:tx>
          <c:spPr>
            <a:pattFill prst="trellis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multiLvlStrRef>
              <c:f>Spend_area_ranking!$J$28:$J$47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Spend_area_ranking!$L$28:$L$47</c:f>
              <c:numCache>
                <c:formatCode>General</c:formatCode>
                <c:ptCount val="10"/>
                <c:pt idx="0">
                  <c:v>12270</c:v>
                </c:pt>
                <c:pt idx="1">
                  <c:v>5033</c:v>
                </c:pt>
                <c:pt idx="2">
                  <c:v>4685</c:v>
                </c:pt>
                <c:pt idx="3">
                  <c:v>4077</c:v>
                </c:pt>
                <c:pt idx="4">
                  <c:v>2058</c:v>
                </c:pt>
                <c:pt idx="5">
                  <c:v>2030</c:v>
                </c:pt>
                <c:pt idx="6">
                  <c:v>1916</c:v>
                </c:pt>
                <c:pt idx="7">
                  <c:v>578</c:v>
                </c:pt>
                <c:pt idx="8">
                  <c:v>528</c:v>
                </c:pt>
                <c:pt idx="9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78-4434-9B32-13EC61D9F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1117880"/>
        <c:axId val="1171123280"/>
      </c:barChart>
      <c:lineChart>
        <c:grouping val="standard"/>
        <c:varyColors val="0"/>
        <c:ser>
          <c:idx val="2"/>
          <c:order val="2"/>
          <c:tx>
            <c:strRef>
              <c:f>Spend_area_ranking!$M$27</c:f>
              <c:strCache>
                <c:ptCount val="1"/>
                <c:pt idx="0">
                  <c:v>Delayed Ratio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multiLvlStrRef>
              <c:f>Spend_area_ranking!$J$28:$J$47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Spend_area_ranking!$M$28:$M$47</c:f>
              <c:numCache>
                <c:formatCode>General</c:formatCode>
                <c:ptCount val="10"/>
                <c:pt idx="0">
                  <c:v>77.64</c:v>
                </c:pt>
                <c:pt idx="1">
                  <c:v>73.709999999999994</c:v>
                </c:pt>
                <c:pt idx="2">
                  <c:v>18.100000000000001</c:v>
                </c:pt>
                <c:pt idx="3">
                  <c:v>72.599999999999994</c:v>
                </c:pt>
                <c:pt idx="4">
                  <c:v>28.37</c:v>
                </c:pt>
                <c:pt idx="5">
                  <c:v>81.89</c:v>
                </c:pt>
                <c:pt idx="6">
                  <c:v>80</c:v>
                </c:pt>
                <c:pt idx="7">
                  <c:v>74.290000000000006</c:v>
                </c:pt>
                <c:pt idx="8">
                  <c:v>62.34</c:v>
                </c:pt>
                <c:pt idx="9">
                  <c:v>75.08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78-4434-9B32-13EC61D9F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722040"/>
        <c:axId val="1174539760"/>
      </c:lineChart>
      <c:catAx>
        <c:axId val="1171117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Spend Area 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with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rank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123280"/>
        <c:crosses val="autoZero"/>
        <c:auto val="1"/>
        <c:lblAlgn val="ctr"/>
        <c:lblOffset val="100"/>
        <c:noMultiLvlLbl val="0"/>
      </c:catAx>
      <c:valAx>
        <c:axId val="117112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Number of Cases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117880"/>
        <c:crosses val="autoZero"/>
        <c:crossBetween val="between"/>
      </c:valAx>
      <c:valAx>
        <c:axId val="1174539760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rgbClr val="003366"/>
                    </a:solidFill>
                  </a:rPr>
                  <a:t>Delay Ratio [%]</a:t>
                </a:r>
                <a:endParaRPr lang="en-GB" sz="1000" b="0" i="0" u="none" strike="noStrike" kern="1200" baseline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722040"/>
        <c:crosses val="max"/>
        <c:crossBetween val="between"/>
        <c:majorUnit val="20"/>
      </c:valAx>
      <c:catAx>
        <c:axId val="503722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4539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895320523638468"/>
          <c:y val="0.8607904965319626"/>
          <c:w val="0.4974945616595608"/>
          <c:h val="0.12139940508538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[P2P_Process_Analysis_Excel.xlsx]Spend_area_duaration!PIVOT_Q3_Spend_area_duaration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rgbClr val="003366"/>
                </a:solidFill>
              </a:rPr>
              <a:t>IR → CI Median Duration by </a:t>
            </a: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Spend Area</a:t>
            </a:r>
            <a:r>
              <a:rPr lang="en-GB" sz="1400" b="1" i="0" u="none" strike="noStrike" kern="1200" spc="0" baseline="0" dirty="0">
                <a:solidFill>
                  <a:srgbClr val="003366"/>
                </a:solidFill>
              </a:rPr>
              <a:t> (SLA vs Delayed)</a:t>
            </a:r>
          </a:p>
        </c:rich>
      </c:tx>
      <c:layout>
        <c:manualLayout>
          <c:xMode val="edge"/>
          <c:yMode val="edge"/>
          <c:x val="0.28378359086312316"/>
          <c:y val="3.1009003174796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dkUpDiag">
            <a:fgClr>
              <a:schemeClr val="accent3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prstDash val="dash"/>
            <a:round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678503000767789E-2"/>
          <c:y val="0.16202212493997661"/>
          <c:w val="0.93542312344860723"/>
          <c:h val="0.476894877895473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Spend_area_duaration!$M$5:$M$7</c:f>
              <c:strCache>
                <c:ptCount val="1"/>
                <c:pt idx="0">
                  <c:v>SLA - Sum of Median</c:v>
                </c:pt>
              </c:strCache>
            </c:strRef>
          </c:tx>
          <c:spPr>
            <a:pattFill prst="dkUpDiag">
              <a:fgClr>
                <a:schemeClr val="accent3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multiLvlStrRef>
              <c:f>Spend_area_duaration!$L$8:$L$27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Spend_area_duaration!$M$8:$M$27</c:f>
              <c:numCache>
                <c:formatCode>General</c:formatCode>
                <c:ptCount val="10"/>
                <c:pt idx="0">
                  <c:v>36</c:v>
                </c:pt>
                <c:pt idx="1">
                  <c:v>31</c:v>
                </c:pt>
                <c:pt idx="2">
                  <c:v>24</c:v>
                </c:pt>
                <c:pt idx="3">
                  <c:v>50</c:v>
                </c:pt>
                <c:pt idx="4">
                  <c:v>22</c:v>
                </c:pt>
                <c:pt idx="5">
                  <c:v>27</c:v>
                </c:pt>
                <c:pt idx="6">
                  <c:v>36</c:v>
                </c:pt>
                <c:pt idx="7">
                  <c:v>23</c:v>
                </c:pt>
                <c:pt idx="8">
                  <c:v>24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C-4E80-BD42-05A623F8B799}"/>
            </c:ext>
          </c:extLst>
        </c:ser>
        <c:ser>
          <c:idx val="2"/>
          <c:order val="2"/>
          <c:tx>
            <c:strRef>
              <c:f>Spend_area_duaration!$O$5:$O$7</c:f>
              <c:strCache>
                <c:ptCount val="1"/>
                <c:pt idx="0">
                  <c:v>Non-SLA - Sum of 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Spend_area_duaration!$L$8:$L$27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Spend_area_duaration!$O$8:$O$27</c:f>
              <c:numCache>
                <c:formatCode>General</c:formatCode>
                <c:ptCount val="10"/>
                <c:pt idx="0">
                  <c:v>91</c:v>
                </c:pt>
                <c:pt idx="1">
                  <c:v>64</c:v>
                </c:pt>
                <c:pt idx="2">
                  <c:v>37</c:v>
                </c:pt>
                <c:pt idx="3">
                  <c:v>71</c:v>
                </c:pt>
                <c:pt idx="4">
                  <c:v>43</c:v>
                </c:pt>
                <c:pt idx="5">
                  <c:v>80</c:v>
                </c:pt>
                <c:pt idx="6">
                  <c:v>49</c:v>
                </c:pt>
                <c:pt idx="7">
                  <c:v>45</c:v>
                </c:pt>
                <c:pt idx="8">
                  <c:v>59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C-4E80-BD42-05A623F8B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5293736"/>
        <c:axId val="1175294456"/>
      </c:barChart>
      <c:lineChart>
        <c:grouping val="standard"/>
        <c:varyColors val="0"/>
        <c:ser>
          <c:idx val="1"/>
          <c:order val="1"/>
          <c:tx>
            <c:strRef>
              <c:f>Spend_area_duaration!$N$5:$N$7</c:f>
              <c:strCache>
                <c:ptCount val="1"/>
                <c:pt idx="0">
                  <c:v>SLA - Median duration of on-time cases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dash"/>
              <a:round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multiLvlStrRef>
              <c:f>Spend_area_duaration!$L$8:$L$27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Spend_area_duaration!$N$8:$N$27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9C-4E80-BD42-05A623F8B799}"/>
            </c:ext>
          </c:extLst>
        </c:ser>
        <c:ser>
          <c:idx val="3"/>
          <c:order val="3"/>
          <c:tx>
            <c:strRef>
              <c:f>Spend_area_duaration!$P$5:$P$7</c:f>
              <c:strCache>
                <c:ptCount val="1"/>
                <c:pt idx="0">
                  <c:v>Non-SLA - Median duration of on-time cases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multiLvlStrRef>
              <c:f>Spend_area_duaration!$L$8:$L$27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Spend_area_duaration!$P$8:$P$27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9C-4E80-BD42-05A623F8B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5293736"/>
        <c:axId val="1175294456"/>
      </c:lineChart>
      <c:catAx>
        <c:axId val="1175293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Spend Area 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with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rank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94456"/>
        <c:crosses val="autoZero"/>
        <c:auto val="1"/>
        <c:lblAlgn val="ctr"/>
        <c:lblOffset val="100"/>
        <c:noMultiLvlLbl val="0"/>
      </c:catAx>
      <c:valAx>
        <c:axId val="117529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Days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9373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323628166431213"/>
          <c:y val="0.80439001483457517"/>
          <c:w val="0.66550327692134381"/>
          <c:h val="0.19166629447754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[P2P_Process_Analysis_Excel.xlsx]Spend_area_bottleneck!PIVOT_Q3_Spend_area_bottleneck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rgbClr val="003366"/>
                </a:solidFill>
              </a:rPr>
              <a:t>IR → CI Contribution to Delay by </a:t>
            </a: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Spend Area </a:t>
            </a:r>
            <a:endParaRPr lang="en-US" sz="1400" b="1" i="0" u="none" strike="noStrike" kern="1200" spc="0" baseline="0" dirty="0">
              <a:solidFill>
                <a:srgbClr val="003366"/>
              </a:solidFill>
            </a:endParaRPr>
          </a:p>
        </c:rich>
      </c:tx>
      <c:layout>
        <c:manualLayout>
          <c:xMode val="edge"/>
          <c:yMode val="edge"/>
          <c:x val="0.23873229573724625"/>
          <c:y val="1.96797354673952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318307397408541E-2"/>
          <c:y val="0.23088567269931068"/>
          <c:w val="0.8900988720477836"/>
          <c:h val="0.491599520317835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Spend_area_bottleneck!$K$5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Spend_area_bottleneck!$J$6:$J$25</c:f>
              <c:multiLvlStrCache>
                <c:ptCount val="10"/>
                <c:lvl>
                  <c:pt idx="0">
                    <c:v>92</c:v>
                  </c:pt>
                  <c:pt idx="1">
                    <c:v>93</c:v>
                  </c:pt>
                  <c:pt idx="2">
                    <c:v>112</c:v>
                  </c:pt>
                  <c:pt idx="3">
                    <c:v>97</c:v>
                  </c:pt>
                  <c:pt idx="4">
                    <c:v>134</c:v>
                  </c:pt>
                  <c:pt idx="5">
                    <c:v>94</c:v>
                  </c:pt>
                  <c:pt idx="6">
                    <c:v>29</c:v>
                  </c:pt>
                  <c:pt idx="7">
                    <c:v>230</c:v>
                  </c:pt>
                  <c:pt idx="8">
                    <c:v>35</c:v>
                  </c:pt>
                  <c:pt idx="9">
                    <c:v>34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Spend_area_bottleneck!$K$6:$K$25</c:f>
              <c:numCache>
                <c:formatCode>General</c:formatCode>
                <c:ptCount val="10"/>
                <c:pt idx="0">
                  <c:v>82.64</c:v>
                </c:pt>
                <c:pt idx="1">
                  <c:v>68.14</c:v>
                </c:pt>
                <c:pt idx="2">
                  <c:v>42.22</c:v>
                </c:pt>
                <c:pt idx="3">
                  <c:v>75</c:v>
                </c:pt>
                <c:pt idx="4">
                  <c:v>39.21</c:v>
                </c:pt>
                <c:pt idx="5">
                  <c:v>75.31</c:v>
                </c:pt>
                <c:pt idx="6">
                  <c:v>54.46</c:v>
                </c:pt>
                <c:pt idx="7">
                  <c:v>44.44</c:v>
                </c:pt>
                <c:pt idx="8">
                  <c:v>58.44</c:v>
                </c:pt>
                <c:pt idx="9">
                  <c:v>51.37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4-49A1-8EA1-9F5948079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8217184"/>
        <c:axId val="1178212504"/>
      </c:barChart>
      <c:catAx>
        <c:axId val="1178217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Spend Area 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with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rank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12504"/>
        <c:crosses val="autoZero"/>
        <c:auto val="1"/>
        <c:lblAlgn val="ctr"/>
        <c:lblOffset val="100"/>
        <c:noMultiLvlLbl val="0"/>
      </c:catAx>
      <c:valAx>
        <c:axId val="11782125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 dirty="0">
                    <a:solidFill>
                      <a:srgbClr val="003366"/>
                    </a:solidFill>
                  </a:rPr>
                  <a:t>Share of Lead Time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1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[P2P_Process_Analysis_Excel.xlsx]Company_ranking!PIVOT_Q3_Company_ranking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Top </a:t>
            </a:r>
            <a:r>
              <a:rPr lang="pl-PL" sz="1400" b="1" i="0" u="none" strike="noStrike" kern="1200" spc="0" baseline="0" dirty="0" err="1">
                <a:solidFill>
                  <a:srgbClr val="003366"/>
                </a:solidFill>
              </a:rPr>
              <a:t>Companies</a:t>
            </a: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 </a:t>
            </a:r>
            <a:endParaRPr lang="en-GB" sz="1400" b="1" i="0" u="none" strike="noStrike" kern="1200" spc="0" baseline="0" dirty="0">
              <a:solidFill>
                <a:srgbClr val="00336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dkUpDiag">
            <a:fgClr>
              <a:schemeClr val="accent3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dkUpDiag">
            <a:fgClr>
              <a:schemeClr val="accent3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dkUpDiag">
            <a:fgClr>
              <a:schemeClr val="accent3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89812123866362"/>
          <c:y val="0.20576400369882594"/>
          <c:w val="0.77106622441863903"/>
          <c:h val="0.528044448180632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Company_ranking!$J$3</c:f>
              <c:strCache>
                <c:ptCount val="1"/>
                <c:pt idx="0">
                  <c:v>Total_cases  </c:v>
                </c:pt>
              </c:strCache>
            </c:strRef>
          </c:tx>
          <c:spPr>
            <a:pattFill prst="dkUpDiag">
              <a:fgClr>
                <a:schemeClr val="accent3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Company_ranking!$I$4:$I$6</c:f>
              <c:strCache>
                <c:ptCount val="2"/>
                <c:pt idx="0">
                  <c:v>4</c:v>
                </c:pt>
                <c:pt idx="1">
                  <c:v>1</c:v>
                </c:pt>
              </c:strCache>
            </c:strRef>
          </c:cat>
          <c:val>
            <c:numRef>
              <c:f>Company_ranking!$J$4:$J$6</c:f>
              <c:numCache>
                <c:formatCode>General</c:formatCode>
                <c:ptCount val="2"/>
                <c:pt idx="0">
                  <c:v>85610</c:v>
                </c:pt>
                <c:pt idx="1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8-49A7-9766-CA6572F5D743}"/>
            </c:ext>
          </c:extLst>
        </c:ser>
        <c:ser>
          <c:idx val="1"/>
          <c:order val="1"/>
          <c:tx>
            <c:strRef>
              <c:f>Company_ranking!$K$3</c:f>
              <c:strCache>
                <c:ptCount val="1"/>
                <c:pt idx="0">
                  <c:v>Delay_cases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Company_ranking!$I$4:$I$6</c:f>
              <c:strCache>
                <c:ptCount val="2"/>
                <c:pt idx="0">
                  <c:v>4</c:v>
                </c:pt>
                <c:pt idx="1">
                  <c:v>1</c:v>
                </c:pt>
              </c:strCache>
            </c:strRef>
          </c:cat>
          <c:val>
            <c:numRef>
              <c:f>Company_ranking!$K$4:$K$6</c:f>
              <c:numCache>
                <c:formatCode>General</c:formatCode>
                <c:ptCount val="2"/>
                <c:pt idx="0">
                  <c:v>41941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C8-49A7-9766-CA6572F5D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3948440"/>
        <c:axId val="503948800"/>
      </c:barChart>
      <c:lineChart>
        <c:grouping val="standard"/>
        <c:varyColors val="0"/>
        <c:ser>
          <c:idx val="2"/>
          <c:order val="2"/>
          <c:tx>
            <c:strRef>
              <c:f>Company_ranking!$L$3</c:f>
              <c:strCache>
                <c:ptCount val="1"/>
                <c:pt idx="0">
                  <c:v>Impact_Share  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Company_ranking!$I$4:$I$6</c:f>
              <c:strCache>
                <c:ptCount val="2"/>
                <c:pt idx="0">
                  <c:v>4</c:v>
                </c:pt>
                <c:pt idx="1">
                  <c:v>1</c:v>
                </c:pt>
              </c:strCache>
            </c:strRef>
          </c:cat>
          <c:val>
            <c:numRef>
              <c:f>Company_ranking!$L$4:$L$6</c:f>
              <c:numCache>
                <c:formatCode>General</c:formatCode>
                <c:ptCount val="2"/>
                <c:pt idx="0">
                  <c:v>99.99</c:v>
                </c:pt>
                <c:pt idx="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C8-49A7-9766-CA6572F5D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584440"/>
        <c:axId val="376585880"/>
      </c:lineChart>
      <c:catAx>
        <c:axId val="503948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Company</a:t>
                </a:r>
                <a:r>
                  <a:rPr lang="pl-PL" baseline="0"/>
                  <a:t> ID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48800"/>
        <c:crosses val="autoZero"/>
        <c:auto val="1"/>
        <c:lblAlgn val="ctr"/>
        <c:lblOffset val="100"/>
        <c:noMultiLvlLbl val="0"/>
      </c:catAx>
      <c:valAx>
        <c:axId val="50394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of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Cases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48440"/>
        <c:crosses val="autoZero"/>
        <c:crossBetween val="between"/>
      </c:valAx>
      <c:valAx>
        <c:axId val="376585880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Impact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Share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- Ratio [%]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584440"/>
        <c:crosses val="max"/>
        <c:crossBetween val="between"/>
        <c:majorUnit val="20"/>
      </c:valAx>
      <c:catAx>
        <c:axId val="376584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6585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080468066491691"/>
          <c:y val="0.85318152798467761"/>
          <c:w val="0.77419531933508323"/>
          <c:h val="0.143368201635918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[P2P_Process_Analysis_Excel.xlsx]Company_ranking!PIVOT_Q3_Company_ranking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Top </a:t>
            </a:r>
            <a:r>
              <a:rPr lang="pl-PL" sz="1400" b="1" i="0" u="none" strike="noStrike" kern="1200" spc="0" baseline="0" dirty="0" err="1">
                <a:solidFill>
                  <a:srgbClr val="003366"/>
                </a:solidFill>
              </a:rPr>
              <a:t>Companies</a:t>
            </a:r>
            <a:r>
              <a:rPr lang="pl-PL" sz="1400" b="1" i="0" u="none" strike="noStrike" kern="1200" spc="0" baseline="0" dirty="0">
                <a:solidFill>
                  <a:srgbClr val="003366"/>
                </a:solidFill>
              </a:rPr>
              <a:t> </a:t>
            </a:r>
            <a:endParaRPr lang="en-GB" sz="1400" b="1" i="0" u="none" strike="noStrike" kern="1200" spc="0" baseline="0" dirty="0">
              <a:solidFill>
                <a:srgbClr val="00336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dkUpDiag">
            <a:fgClr>
              <a:schemeClr val="accent3"/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89812123866362"/>
          <c:y val="0.20576400369882594"/>
          <c:w val="0.77106622441863903"/>
          <c:h val="0.528044448180632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Company_ranking!$J$3</c:f>
              <c:strCache>
                <c:ptCount val="1"/>
                <c:pt idx="0">
                  <c:v>Total_cases  </c:v>
                </c:pt>
              </c:strCache>
            </c:strRef>
          </c:tx>
          <c:spPr>
            <a:pattFill prst="dkUpDiag">
              <a:fgClr>
                <a:schemeClr val="accent3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Company_ranking!$I$4:$I$6</c:f>
              <c:strCache>
                <c:ptCount val="2"/>
                <c:pt idx="0">
                  <c:v>4</c:v>
                </c:pt>
                <c:pt idx="1">
                  <c:v>1</c:v>
                </c:pt>
              </c:strCache>
            </c:strRef>
          </c:cat>
          <c:val>
            <c:numRef>
              <c:f>Company_ranking!$J$4:$J$6</c:f>
              <c:numCache>
                <c:formatCode>General</c:formatCode>
                <c:ptCount val="2"/>
                <c:pt idx="0">
                  <c:v>85610</c:v>
                </c:pt>
                <c:pt idx="1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E-48C1-AEED-E4D821FFFA6D}"/>
            </c:ext>
          </c:extLst>
        </c:ser>
        <c:ser>
          <c:idx val="1"/>
          <c:order val="1"/>
          <c:tx>
            <c:strRef>
              <c:f>Company_ranking!$K$3</c:f>
              <c:strCache>
                <c:ptCount val="1"/>
                <c:pt idx="0">
                  <c:v>Delay_cases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Company_ranking!$I$4:$I$6</c:f>
              <c:strCache>
                <c:ptCount val="2"/>
                <c:pt idx="0">
                  <c:v>4</c:v>
                </c:pt>
                <c:pt idx="1">
                  <c:v>1</c:v>
                </c:pt>
              </c:strCache>
            </c:strRef>
          </c:cat>
          <c:val>
            <c:numRef>
              <c:f>Company_ranking!$K$4:$K$6</c:f>
              <c:numCache>
                <c:formatCode>General</c:formatCode>
                <c:ptCount val="2"/>
                <c:pt idx="0">
                  <c:v>41941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FE-48C1-AEED-E4D821FFF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3948440"/>
        <c:axId val="503948800"/>
      </c:barChart>
      <c:lineChart>
        <c:grouping val="standard"/>
        <c:varyColors val="0"/>
        <c:ser>
          <c:idx val="2"/>
          <c:order val="2"/>
          <c:tx>
            <c:strRef>
              <c:f>Company_ranking!$L$3</c:f>
              <c:strCache>
                <c:ptCount val="1"/>
                <c:pt idx="0">
                  <c:v>Impact_Share  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Company_ranking!$I$4:$I$6</c:f>
              <c:strCache>
                <c:ptCount val="2"/>
                <c:pt idx="0">
                  <c:v>4</c:v>
                </c:pt>
                <c:pt idx="1">
                  <c:v>1</c:v>
                </c:pt>
              </c:strCache>
            </c:strRef>
          </c:cat>
          <c:val>
            <c:numRef>
              <c:f>Company_ranking!$L$4:$L$6</c:f>
              <c:numCache>
                <c:formatCode>General</c:formatCode>
                <c:ptCount val="2"/>
                <c:pt idx="0">
                  <c:v>99.99</c:v>
                </c:pt>
                <c:pt idx="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FE-48C1-AEED-E4D821FFF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584440"/>
        <c:axId val="376585880"/>
      </c:lineChart>
      <c:catAx>
        <c:axId val="503948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Company</a:t>
                </a:r>
                <a:r>
                  <a:rPr lang="pl-PL" baseline="0"/>
                  <a:t> ID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48800"/>
        <c:crosses val="autoZero"/>
        <c:auto val="1"/>
        <c:lblAlgn val="ctr"/>
        <c:lblOffset val="100"/>
        <c:noMultiLvlLbl val="0"/>
      </c:catAx>
      <c:valAx>
        <c:axId val="50394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Number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of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Cases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48440"/>
        <c:crosses val="autoZero"/>
        <c:crossBetween val="between"/>
      </c:valAx>
      <c:valAx>
        <c:axId val="376585880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Impact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</a:t>
                </a:r>
                <a:r>
                  <a:rPr lang="pl-PL" sz="1000" b="0" i="0" u="none" strike="noStrike" kern="1200" baseline="0" dirty="0" err="1">
                    <a:solidFill>
                      <a:srgbClr val="003366"/>
                    </a:solidFill>
                  </a:rPr>
                  <a:t>Share</a:t>
                </a:r>
                <a:r>
                  <a:rPr lang="pl-PL" sz="1000" b="0" i="0" u="none" strike="noStrike" kern="1200" baseline="0" dirty="0">
                    <a:solidFill>
                      <a:srgbClr val="003366"/>
                    </a:solidFill>
                  </a:rPr>
                  <a:t> - Ratio [%]</a:t>
                </a:r>
                <a:endParaRPr lang="en-GB" sz="1000" b="0" i="0" u="none" strike="noStrike" kern="1200" baseline="0" dirty="0">
                  <a:solidFill>
                    <a:srgbClr val="00336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584440"/>
        <c:crosses val="max"/>
        <c:crossBetween val="between"/>
        <c:majorUnit val="20"/>
      </c:valAx>
      <c:catAx>
        <c:axId val="376584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6585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080468066491691"/>
          <c:y val="0.85318152798467761"/>
          <c:w val="0.77419531933508323"/>
          <c:h val="0.143368201635918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43542</xdr:colOff>
      <xdr:row>24</xdr:row>
      <xdr:rowOff>10886</xdr:rowOff>
    </xdr:from>
    <xdr:to>
      <xdr:col>21</xdr:col>
      <xdr:colOff>21772</xdr:colOff>
      <xdr:row>43</xdr:row>
      <xdr:rowOff>174171</xdr:rowOff>
    </xdr:to>
    <xdr:graphicFrame macro="">
      <xdr:nvGraphicFramePr>
        <xdr:cNvPr id="3" name="CHART_Q1_Monthly_Trend_2">
          <a:extLst>
            <a:ext uri="{FF2B5EF4-FFF2-40B4-BE49-F238E27FC236}">
              <a16:creationId xmlns:a16="http://schemas.microsoft.com/office/drawing/2014/main" id="{ED2F2516-C8D4-48A7-8DB3-898BD11D6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71717</xdr:colOff>
      <xdr:row>5</xdr:row>
      <xdr:rowOff>0</xdr:rowOff>
    </xdr:from>
    <xdr:to>
      <xdr:col>8</xdr:col>
      <xdr:colOff>223221</xdr:colOff>
      <xdr:row>23</xdr:row>
      <xdr:rowOff>68356</xdr:rowOff>
    </xdr:to>
    <xdr:graphicFrame macro="">
      <xdr:nvGraphicFramePr>
        <xdr:cNvPr id="9" name="CHART_Q1_Overview">
          <a:extLst>
            <a:ext uri="{FF2B5EF4-FFF2-40B4-BE49-F238E27FC236}">
              <a16:creationId xmlns:a16="http://schemas.microsoft.com/office/drawing/2014/main" id="{1438F7B3-BF8A-4AD8-B25B-EFEDA3B9B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9</xdr:col>
      <xdr:colOff>401090</xdr:colOff>
      <xdr:row>43</xdr:row>
      <xdr:rowOff>165908</xdr:rowOff>
    </xdr:to>
    <xdr:graphicFrame macro="">
      <xdr:nvGraphicFramePr>
        <xdr:cNvPr id="13" name="CHART_Q1_Monthly_Trend_1">
          <a:extLst>
            <a:ext uri="{FF2B5EF4-FFF2-40B4-BE49-F238E27FC236}">
              <a16:creationId xmlns:a16="http://schemas.microsoft.com/office/drawing/2014/main" id="{5B89B445-2914-48B6-87AF-F84DF01D8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549729</xdr:colOff>
      <xdr:row>1</xdr:row>
      <xdr:rowOff>163831</xdr:rowOff>
    </xdr:from>
    <xdr:to>
      <xdr:col>22</xdr:col>
      <xdr:colOff>16329</xdr:colOff>
      <xdr:row>19</xdr:row>
      <xdr:rowOff>176350</xdr:rowOff>
    </xdr:to>
    <xdr:graphicFrame macro="">
      <xdr:nvGraphicFramePr>
        <xdr:cNvPr id="4" name="CHART_Q1_Overview">
          <a:extLst>
            <a:ext uri="{FF2B5EF4-FFF2-40B4-BE49-F238E27FC236}">
              <a16:creationId xmlns:a16="http://schemas.microsoft.com/office/drawing/2014/main" id="{1A20DE6D-72E6-1C8A-FD86-6D6DF17A4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61998</xdr:colOff>
      <xdr:row>1</xdr:row>
      <xdr:rowOff>163880</xdr:rowOff>
    </xdr:from>
    <xdr:to>
      <xdr:col>27</xdr:col>
      <xdr:colOff>255270</xdr:colOff>
      <xdr:row>21</xdr:row>
      <xdr:rowOff>94261</xdr:rowOff>
    </xdr:to>
    <xdr:graphicFrame macro="">
      <xdr:nvGraphicFramePr>
        <xdr:cNvPr id="3" name="CHART_Q1_Monthly_Trend_1">
          <a:extLst>
            <a:ext uri="{FF2B5EF4-FFF2-40B4-BE49-F238E27FC236}">
              <a16:creationId xmlns:a16="http://schemas.microsoft.com/office/drawing/2014/main" id="{8851467B-CDCB-0C52-C15E-24BAB65D6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168729</xdr:colOff>
      <xdr:row>27</xdr:row>
      <xdr:rowOff>47352</xdr:rowOff>
    </xdr:from>
    <xdr:to>
      <xdr:col>27</xdr:col>
      <xdr:colOff>69669</xdr:colOff>
      <xdr:row>48</xdr:row>
      <xdr:rowOff>104502</xdr:rowOff>
    </xdr:to>
    <xdr:graphicFrame macro="">
      <xdr:nvGraphicFramePr>
        <xdr:cNvPr id="4" name="CHART_Q1_Monthly_Trend_2">
          <a:extLst>
            <a:ext uri="{FF2B5EF4-FFF2-40B4-BE49-F238E27FC236}">
              <a16:creationId xmlns:a16="http://schemas.microsoft.com/office/drawing/2014/main" id="{E02F0BBA-7045-312E-F256-1C35F5BAF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89647</xdr:colOff>
      <xdr:row>2</xdr:row>
      <xdr:rowOff>32657</xdr:rowOff>
    </xdr:from>
    <xdr:to>
      <xdr:col>30</xdr:col>
      <xdr:colOff>228601</xdr:colOff>
      <xdr:row>22</xdr:row>
      <xdr:rowOff>43542</xdr:rowOff>
    </xdr:to>
    <xdr:graphicFrame macro="">
      <xdr:nvGraphicFramePr>
        <xdr:cNvPr id="3" name="CHART_Q1_Weekly_Trend">
          <a:extLst>
            <a:ext uri="{FF2B5EF4-FFF2-40B4-BE49-F238E27FC236}">
              <a16:creationId xmlns:a16="http://schemas.microsoft.com/office/drawing/2014/main" id="{DF6D2901-00AB-4B8C-B59E-8E09201FC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807942</xdr:colOff>
      <xdr:row>27</xdr:row>
      <xdr:rowOff>100692</xdr:rowOff>
    </xdr:from>
    <xdr:to>
      <xdr:col>30</xdr:col>
      <xdr:colOff>7844</xdr:colOff>
      <xdr:row>47</xdr:row>
      <xdr:rowOff>95250</xdr:rowOff>
    </xdr:to>
    <xdr:graphicFrame macro="">
      <xdr:nvGraphicFramePr>
        <xdr:cNvPr id="6" name="CHART_Q1_Weekly_Trend_Cases">
          <a:extLst>
            <a:ext uri="{FF2B5EF4-FFF2-40B4-BE49-F238E27FC236}">
              <a16:creationId xmlns:a16="http://schemas.microsoft.com/office/drawing/2014/main" id="{B775FD80-DF13-D26C-DB2B-F700FE236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97972</xdr:colOff>
      <xdr:row>5</xdr:row>
      <xdr:rowOff>122463</xdr:rowOff>
    </xdr:from>
    <xdr:to>
      <xdr:col>20</xdr:col>
      <xdr:colOff>65315</xdr:colOff>
      <xdr:row>26</xdr:row>
      <xdr:rowOff>51181</xdr:rowOff>
    </xdr:to>
    <xdr:graphicFrame macro="">
      <xdr:nvGraphicFramePr>
        <xdr:cNvPr id="2" name="CHART_Q1_Weekly_Trend_Cases">
          <a:extLst>
            <a:ext uri="{FF2B5EF4-FFF2-40B4-BE49-F238E27FC236}">
              <a16:creationId xmlns:a16="http://schemas.microsoft.com/office/drawing/2014/main" id="{C6F9F200-CB9C-4804-9CC1-5DE279F23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601053</xdr:colOff>
      <xdr:row>5</xdr:row>
      <xdr:rowOff>76199</xdr:rowOff>
    </xdr:from>
    <xdr:to>
      <xdr:col>9</xdr:col>
      <xdr:colOff>413658</xdr:colOff>
      <xdr:row>26</xdr:row>
      <xdr:rowOff>21771</xdr:rowOff>
    </xdr:to>
    <xdr:graphicFrame macro="">
      <xdr:nvGraphicFramePr>
        <xdr:cNvPr id="3" name="CHART_Q1_Weekly_Trend">
          <a:extLst>
            <a:ext uri="{FF2B5EF4-FFF2-40B4-BE49-F238E27FC236}">
              <a16:creationId xmlns:a16="http://schemas.microsoft.com/office/drawing/2014/main" id="{E6E0E409-298F-491D-879C-9E9C9B189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10</xdr:col>
      <xdr:colOff>320040</xdr:colOff>
      <xdr:row>21</xdr:row>
      <xdr:rowOff>140970</xdr:rowOff>
    </xdr:to>
    <xdr:graphicFrame macro="">
      <xdr:nvGraphicFramePr>
        <xdr:cNvPr id="2" name="CHART_Q2_Stage_Duaration">
          <a:extLst>
            <a:ext uri="{FF2B5EF4-FFF2-40B4-BE49-F238E27FC236}">
              <a16:creationId xmlns:a16="http://schemas.microsoft.com/office/drawing/2014/main" id="{46A250C0-62E6-45E4-ADA1-AF60E5AA2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598713</xdr:colOff>
      <xdr:row>23</xdr:row>
      <xdr:rowOff>152399</xdr:rowOff>
    </xdr:from>
    <xdr:to>
      <xdr:col>10</xdr:col>
      <xdr:colOff>359228</xdr:colOff>
      <xdr:row>38</xdr:row>
      <xdr:rowOff>115933</xdr:rowOff>
    </xdr:to>
    <xdr:graphicFrame macro="">
      <xdr:nvGraphicFramePr>
        <xdr:cNvPr id="5" name="Wykres 1">
          <a:extLst>
            <a:ext uri="{FF2B5EF4-FFF2-40B4-BE49-F238E27FC236}">
              <a16:creationId xmlns:a16="http://schemas.microsoft.com/office/drawing/2014/main" id="{00F15CA7-EAD5-45EB-8ABB-AA3BD0D80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10885</xdr:colOff>
      <xdr:row>5</xdr:row>
      <xdr:rowOff>10885</xdr:rowOff>
    </xdr:from>
    <xdr:to>
      <xdr:col>18</xdr:col>
      <xdr:colOff>32657</xdr:colOff>
      <xdr:row>21</xdr:row>
      <xdr:rowOff>130629</xdr:rowOff>
    </xdr:to>
    <xdr:graphicFrame macro="">
      <xdr:nvGraphicFramePr>
        <xdr:cNvPr id="6" name="CHART_Q2_Bottleneck">
          <a:extLst>
            <a:ext uri="{FF2B5EF4-FFF2-40B4-BE49-F238E27FC236}">
              <a16:creationId xmlns:a16="http://schemas.microsoft.com/office/drawing/2014/main" id="{059A0D7B-3441-4317-B391-8EDCB3B8C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143435</xdr:colOff>
      <xdr:row>1</xdr:row>
      <xdr:rowOff>98614</xdr:rowOff>
    </xdr:from>
    <xdr:to>
      <xdr:col>25</xdr:col>
      <xdr:colOff>463475</xdr:colOff>
      <xdr:row>18</xdr:row>
      <xdr:rowOff>117664</xdr:rowOff>
    </xdr:to>
    <xdr:graphicFrame macro="">
      <xdr:nvGraphicFramePr>
        <xdr:cNvPr id="3" name="CHART_Q2_Stage_Duaration">
          <a:extLst>
            <a:ext uri="{FF2B5EF4-FFF2-40B4-BE49-F238E27FC236}">
              <a16:creationId xmlns:a16="http://schemas.microsoft.com/office/drawing/2014/main" id="{1CC592FA-63AC-4096-A07E-BFB5FC05D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1</xdr:row>
      <xdr:rowOff>133350</xdr:rowOff>
    </xdr:from>
    <xdr:to>
      <xdr:col>16</xdr:col>
      <xdr:colOff>297180</xdr:colOff>
      <xdr:row>16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2C6A789-F275-E390-A54A-564AA3830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68580</xdr:colOff>
      <xdr:row>1</xdr:row>
      <xdr:rowOff>171450</xdr:rowOff>
    </xdr:from>
    <xdr:to>
      <xdr:col>20</xdr:col>
      <xdr:colOff>373380</xdr:colOff>
      <xdr:row>16</xdr:row>
      <xdr:rowOff>171450</xdr:rowOff>
    </xdr:to>
    <xdr:graphicFrame macro="">
      <xdr:nvGraphicFramePr>
        <xdr:cNvPr id="2" name="CHART_Q2_Bottleneck">
          <a:extLst>
            <a:ext uri="{FF2B5EF4-FFF2-40B4-BE49-F238E27FC236}">
              <a16:creationId xmlns:a16="http://schemas.microsoft.com/office/drawing/2014/main" id="{C4644056-EAE4-18AD-BDD6-95A721FA0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609599</xdr:colOff>
      <xdr:row>5</xdr:row>
      <xdr:rowOff>21771</xdr:rowOff>
    </xdr:from>
    <xdr:to>
      <xdr:col>20</xdr:col>
      <xdr:colOff>446315</xdr:colOff>
      <xdr:row>25</xdr:row>
      <xdr:rowOff>166020</xdr:rowOff>
    </xdr:to>
    <xdr:graphicFrame macro="">
      <xdr:nvGraphicFramePr>
        <xdr:cNvPr id="2" name="CHART_Q3_Vendor_Delay">
          <a:extLst>
            <a:ext uri="{FF2B5EF4-FFF2-40B4-BE49-F238E27FC236}">
              <a16:creationId xmlns:a16="http://schemas.microsoft.com/office/drawing/2014/main" id="{1783002D-FCD2-4792-96D9-8F22E29E9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17929</xdr:colOff>
      <xdr:row>5</xdr:row>
      <xdr:rowOff>53789</xdr:rowOff>
    </xdr:from>
    <xdr:to>
      <xdr:col>11</xdr:col>
      <xdr:colOff>11654</xdr:colOff>
      <xdr:row>26</xdr:row>
      <xdr:rowOff>26893</xdr:rowOff>
    </xdr:to>
    <xdr:graphicFrame macro="">
      <xdr:nvGraphicFramePr>
        <xdr:cNvPr id="4" name="CHART_Q3_Vendor_Ranking">
          <a:extLst>
            <a:ext uri="{FF2B5EF4-FFF2-40B4-BE49-F238E27FC236}">
              <a16:creationId xmlns:a16="http://schemas.microsoft.com/office/drawing/2014/main" id="{D0B80F46-C41B-402E-BCFC-0C0196BF4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13</xdr:col>
      <xdr:colOff>260220</xdr:colOff>
      <xdr:row>51</xdr:row>
      <xdr:rowOff>135528</xdr:rowOff>
    </xdr:to>
    <xdr:graphicFrame macro="">
      <xdr:nvGraphicFramePr>
        <xdr:cNvPr id="5" name="CHART_Q3_Vendor_duaration">
          <a:extLst>
            <a:ext uri="{FF2B5EF4-FFF2-40B4-BE49-F238E27FC236}">
              <a16:creationId xmlns:a16="http://schemas.microsoft.com/office/drawing/2014/main" id="{0477C09D-1115-4DCB-92ED-48024A3DA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27</xdr:row>
      <xdr:rowOff>185056</xdr:rowOff>
    </xdr:from>
    <xdr:to>
      <xdr:col>24</xdr:col>
      <xdr:colOff>413459</xdr:colOff>
      <xdr:row>51</xdr:row>
      <xdr:rowOff>76199</xdr:rowOff>
    </xdr:to>
    <xdr:graphicFrame macro="">
      <xdr:nvGraphicFramePr>
        <xdr:cNvPr id="6" name="CHART_Q3_Vendor_Bottleneck">
          <a:extLst>
            <a:ext uri="{FF2B5EF4-FFF2-40B4-BE49-F238E27FC236}">
              <a16:creationId xmlns:a16="http://schemas.microsoft.com/office/drawing/2014/main" id="{0C081600-D9A2-45CE-B53C-0809B9FC2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179293</xdr:rowOff>
    </xdr:from>
    <xdr:to>
      <xdr:col>22</xdr:col>
      <xdr:colOff>603325</xdr:colOff>
      <xdr:row>24</xdr:row>
      <xdr:rowOff>179293</xdr:rowOff>
    </xdr:to>
    <xdr:graphicFrame macro="">
      <xdr:nvGraphicFramePr>
        <xdr:cNvPr id="3" name="CHART_Q3_Vendor_Ranking">
          <a:extLst>
            <a:ext uri="{FF2B5EF4-FFF2-40B4-BE49-F238E27FC236}">
              <a16:creationId xmlns:a16="http://schemas.microsoft.com/office/drawing/2014/main" id="{1E8EE77F-0D93-44EA-BF02-6FAE919E3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179701</xdr:colOff>
      <xdr:row>39</xdr:row>
      <xdr:rowOff>70905</xdr:rowOff>
    </xdr:from>
    <xdr:to>
      <xdr:col>23</xdr:col>
      <xdr:colOff>8964</xdr:colOff>
      <xdr:row>60</xdr:row>
      <xdr:rowOff>35859</xdr:rowOff>
    </xdr:to>
    <xdr:graphicFrame macro="">
      <xdr:nvGraphicFramePr>
        <xdr:cNvPr id="4" name="CHART_Q3_Vendor_Delay">
          <a:extLst>
            <a:ext uri="{FF2B5EF4-FFF2-40B4-BE49-F238E27FC236}">
              <a16:creationId xmlns:a16="http://schemas.microsoft.com/office/drawing/2014/main" id="{420B7418-4C3D-D01C-3BF6-3EF6F70A0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86144</xdr:colOff>
      <xdr:row>3</xdr:row>
      <xdr:rowOff>138594</xdr:rowOff>
    </xdr:from>
    <xdr:to>
      <xdr:col>28</xdr:col>
      <xdr:colOff>346364</xdr:colOff>
      <xdr:row>28</xdr:row>
      <xdr:rowOff>27709</xdr:rowOff>
    </xdr:to>
    <xdr:graphicFrame macro="">
      <xdr:nvGraphicFramePr>
        <xdr:cNvPr id="11" name="CHART_Q3_Vendor_duaration">
          <a:extLst>
            <a:ext uri="{FF2B5EF4-FFF2-40B4-BE49-F238E27FC236}">
              <a16:creationId xmlns:a16="http://schemas.microsoft.com/office/drawing/2014/main" id="{1C68727A-0149-6293-2A7E-96C672F76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11085</xdr:colOff>
      <xdr:row>3</xdr:row>
      <xdr:rowOff>41566</xdr:rowOff>
    </xdr:from>
    <xdr:to>
      <xdr:col>22</xdr:col>
      <xdr:colOff>457201</xdr:colOff>
      <xdr:row>25</xdr:row>
      <xdr:rowOff>105889</xdr:rowOff>
    </xdr:to>
    <xdr:graphicFrame macro="">
      <xdr:nvGraphicFramePr>
        <xdr:cNvPr id="2" name="CHART_Q3_Vendor_Bottleneck">
          <a:extLst>
            <a:ext uri="{FF2B5EF4-FFF2-40B4-BE49-F238E27FC236}">
              <a16:creationId xmlns:a16="http://schemas.microsoft.com/office/drawing/2014/main" id="{497FA82F-585C-2B38-363F-E25255588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10</xdr:col>
      <xdr:colOff>495621</xdr:colOff>
      <xdr:row>23</xdr:row>
      <xdr:rowOff>120499</xdr:rowOff>
    </xdr:to>
    <xdr:graphicFrame macro="">
      <xdr:nvGraphicFramePr>
        <xdr:cNvPr id="2" name="CHART_Q3_Spend_area_ranking">
          <a:extLst>
            <a:ext uri="{FF2B5EF4-FFF2-40B4-BE49-F238E27FC236}">
              <a16:creationId xmlns:a16="http://schemas.microsoft.com/office/drawing/2014/main" id="{377984FD-942F-49C6-9643-B7E65A028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</xdr:row>
      <xdr:rowOff>0</xdr:rowOff>
    </xdr:from>
    <xdr:to>
      <xdr:col>21</xdr:col>
      <xdr:colOff>555172</xdr:colOff>
      <xdr:row>23</xdr:row>
      <xdr:rowOff>165965</xdr:rowOff>
    </xdr:to>
    <xdr:graphicFrame macro="">
      <xdr:nvGraphicFramePr>
        <xdr:cNvPr id="3" name="CHART_Q3_Spend_area_delay">
          <a:extLst>
            <a:ext uri="{FF2B5EF4-FFF2-40B4-BE49-F238E27FC236}">
              <a16:creationId xmlns:a16="http://schemas.microsoft.com/office/drawing/2014/main" id="{80AD77DB-FE7E-4302-9C97-566558FAA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13</xdr:col>
      <xdr:colOff>460017</xdr:colOff>
      <xdr:row>45</xdr:row>
      <xdr:rowOff>135110</xdr:rowOff>
    </xdr:to>
    <xdr:graphicFrame macro="">
      <xdr:nvGraphicFramePr>
        <xdr:cNvPr id="4" name="CHART_Q3_Spend_area_duaration">
          <a:extLst>
            <a:ext uri="{FF2B5EF4-FFF2-40B4-BE49-F238E27FC236}">
              <a16:creationId xmlns:a16="http://schemas.microsoft.com/office/drawing/2014/main" id="{6697CE61-D0F6-4C00-80B8-48BF57EE1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108858</xdr:colOff>
      <xdr:row>25</xdr:row>
      <xdr:rowOff>0</xdr:rowOff>
    </xdr:from>
    <xdr:to>
      <xdr:col>23</xdr:col>
      <xdr:colOff>2362200</xdr:colOff>
      <xdr:row>45</xdr:row>
      <xdr:rowOff>97971</xdr:rowOff>
    </xdr:to>
    <xdr:graphicFrame macro="">
      <xdr:nvGraphicFramePr>
        <xdr:cNvPr id="5" name="CHART_Q3_Spend_area_bottleneck">
          <a:extLst>
            <a:ext uri="{FF2B5EF4-FFF2-40B4-BE49-F238E27FC236}">
              <a16:creationId xmlns:a16="http://schemas.microsoft.com/office/drawing/2014/main" id="{9EEF7C29-4F17-47B5-8B5F-9F8FDEDD7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92208</xdr:colOff>
      <xdr:row>4</xdr:row>
      <xdr:rowOff>33298</xdr:rowOff>
    </xdr:from>
    <xdr:to>
      <xdr:col>24</xdr:col>
      <xdr:colOff>587829</xdr:colOff>
      <xdr:row>23</xdr:row>
      <xdr:rowOff>62754</xdr:rowOff>
    </xdr:to>
    <xdr:graphicFrame macro="">
      <xdr:nvGraphicFramePr>
        <xdr:cNvPr id="2" name="CHART_Q3_Spend_area_ranking">
          <a:extLst>
            <a:ext uri="{FF2B5EF4-FFF2-40B4-BE49-F238E27FC236}">
              <a16:creationId xmlns:a16="http://schemas.microsoft.com/office/drawing/2014/main" id="{B0DBC819-40AD-8F73-6BB5-02D0289D0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54428</xdr:colOff>
      <xdr:row>25</xdr:row>
      <xdr:rowOff>97968</xdr:rowOff>
    </xdr:from>
    <xdr:to>
      <xdr:col>25</xdr:col>
      <xdr:colOff>0</xdr:colOff>
      <xdr:row>44</xdr:row>
      <xdr:rowOff>172889</xdr:rowOff>
    </xdr:to>
    <xdr:graphicFrame macro="">
      <xdr:nvGraphicFramePr>
        <xdr:cNvPr id="3" name="CHART_Q3_Spend_area_delay">
          <a:extLst>
            <a:ext uri="{FF2B5EF4-FFF2-40B4-BE49-F238E27FC236}">
              <a16:creationId xmlns:a16="http://schemas.microsoft.com/office/drawing/2014/main" id="{001B267D-0866-40DD-613A-36B982903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51612</xdr:colOff>
      <xdr:row>2</xdr:row>
      <xdr:rowOff>180062</xdr:rowOff>
    </xdr:from>
    <xdr:to>
      <xdr:col>30</xdr:col>
      <xdr:colOff>511629</xdr:colOff>
      <xdr:row>24</xdr:row>
      <xdr:rowOff>71844</xdr:rowOff>
    </xdr:to>
    <xdr:graphicFrame macro="">
      <xdr:nvGraphicFramePr>
        <xdr:cNvPr id="3" name="CHART_Q3_Spend_area_duaration">
          <a:extLst>
            <a:ext uri="{FF2B5EF4-FFF2-40B4-BE49-F238E27FC236}">
              <a16:creationId xmlns:a16="http://schemas.microsoft.com/office/drawing/2014/main" id="{3BE8A104-F438-8FF3-1718-8AFD71421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65605</xdr:colOff>
      <xdr:row>3</xdr:row>
      <xdr:rowOff>96166</xdr:rowOff>
    </xdr:from>
    <xdr:to>
      <xdr:col>22</xdr:col>
      <xdr:colOff>581891</xdr:colOff>
      <xdr:row>21</xdr:row>
      <xdr:rowOff>89647</xdr:rowOff>
    </xdr:to>
    <xdr:graphicFrame macro="">
      <xdr:nvGraphicFramePr>
        <xdr:cNvPr id="2" name="CHART_Q3_Spend_area_bottleneck">
          <a:extLst>
            <a:ext uri="{FF2B5EF4-FFF2-40B4-BE49-F238E27FC236}">
              <a16:creationId xmlns:a16="http://schemas.microsoft.com/office/drawing/2014/main" id="{E4F8F1B0-CBF6-3E36-DBA4-1240CB890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9</xdr:col>
      <xdr:colOff>505097</xdr:colOff>
      <xdr:row>25</xdr:row>
      <xdr:rowOff>51163</xdr:rowOff>
    </xdr:to>
    <xdr:graphicFrame macro="">
      <xdr:nvGraphicFramePr>
        <xdr:cNvPr id="2" name="CHART_Q3_Company_ranking">
          <a:extLst>
            <a:ext uri="{FF2B5EF4-FFF2-40B4-BE49-F238E27FC236}">
              <a16:creationId xmlns:a16="http://schemas.microsoft.com/office/drawing/2014/main" id="{04A85B26-9976-4172-BAE5-CF4845614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28303</xdr:colOff>
      <xdr:row>2</xdr:row>
      <xdr:rowOff>109946</xdr:rowOff>
    </xdr:from>
    <xdr:to>
      <xdr:col>22</xdr:col>
      <xdr:colOff>533400</xdr:colOff>
      <xdr:row>22</xdr:row>
      <xdr:rowOff>117566</xdr:rowOff>
    </xdr:to>
    <xdr:graphicFrame macro="">
      <xdr:nvGraphicFramePr>
        <xdr:cNvPr id="2" name="CHART_Q3_Company_ranking">
          <a:extLst>
            <a:ext uri="{FF2B5EF4-FFF2-40B4-BE49-F238E27FC236}">
              <a16:creationId xmlns:a16="http://schemas.microsoft.com/office/drawing/2014/main" id="{B27521B2-9161-567D-CFDA-EAE292077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dra Laskowska" refreshedDate="46131.126394791667" createdVersion="8" refreshedVersion="8" minRefreshableVersion="3" recordCount="86" xr:uid="{3EA91E2C-981F-4E8D-ABDF-6B42EDC47BA6}">
  <cacheSource type="worksheet">
    <worksheetSource name="RAW_SQL_Q3_Vendor_duaration"/>
  </cacheSource>
  <cacheFields count="8">
    <cacheField name="Stage" numFmtId="0">
      <sharedItems count="6">
        <s v="PO_GR_Days"/>
        <s v="GR_IR_Days"/>
        <s v="IR_CI_Days"/>
        <s v="PO → GR" u="1"/>
        <s v="GR → IR" u="1"/>
        <s v="IR → CI" u="1"/>
      </sharedItems>
    </cacheField>
    <cacheField name="Vendor_key" numFmtId="0">
      <sharedItems containsSemiMixedTypes="0" containsString="0" containsNumber="1" containsInteger="1" minValue="4" maxValue="1696" count="15">
        <n v="196"/>
        <n v="1294"/>
        <n v="1696"/>
        <n v="24"/>
        <n v="789"/>
        <n v="531"/>
        <n v="739"/>
        <n v="4"/>
        <n v="1468"/>
        <n v="995"/>
        <n v="1501"/>
        <n v="1236"/>
        <n v="968"/>
        <n v="166"/>
        <n v="921"/>
      </sharedItems>
    </cacheField>
    <cacheField name="Vendor_Rank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Delay_flag" numFmtId="0">
      <sharedItems containsMixedTypes="1" containsNumber="1" containsInteger="1" minValue="0" maxValue="1" count="4">
        <s v="Non-SLA"/>
        <s v="SLA"/>
        <n v="1" u="1"/>
        <n v="0" u="1"/>
      </sharedItems>
    </cacheField>
    <cacheField name="Cases_Number" numFmtId="0">
      <sharedItems containsSemiMixedTypes="0" containsString="0" containsNumber="1" containsInteger="1" minValue="419" maxValue="4403"/>
    </cacheField>
    <cacheField name="Median" numFmtId="0">
      <sharedItems containsSemiMixedTypes="0" containsString="0" containsNumber="1" containsInteger="1" minValue="0" maxValue="105"/>
    </cacheField>
    <cacheField name="P90" numFmtId="0">
      <sharedItems containsSemiMixedTypes="0" containsString="0" containsNumber="1" containsInteger="1" minValue="0" maxValue="120"/>
    </cacheField>
    <cacheField name="IR-CI" numFmtId="0" formula=" 24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dra Laskowska" refreshedDate="46131.126396296298" createdVersion="8" refreshedVersion="8" minRefreshableVersion="3" recordCount="45" xr:uid="{B13BB18B-42F2-4ECF-83E5-3AEBAA956904}">
  <cacheSource type="worksheet">
    <worksheetSource name="RAW_SQL_Q3_Vendor_bottleneck"/>
  </cacheSource>
  <cacheFields count="5">
    <cacheField name="Stage" numFmtId="0">
      <sharedItems count="6">
        <s v="PO_GR_Days"/>
        <s v="GR_IR_Days"/>
        <s v="IR_CI_Days"/>
        <s v="PO → GR" u="1"/>
        <s v="GR → IR" u="1"/>
        <s v="IR → CI" u="1"/>
      </sharedItems>
    </cacheField>
    <cacheField name="Vendor_key" numFmtId="0">
      <sharedItems containsSemiMixedTypes="0" containsString="0" containsNumber="1" containsInteger="1" minValue="4" maxValue="1696" count="15">
        <n v="196"/>
        <n v="1294"/>
        <n v="1696"/>
        <n v="24"/>
        <n v="789"/>
        <n v="531"/>
        <n v="739"/>
        <n v="4"/>
        <n v="1468"/>
        <n v="995"/>
        <n v="1501"/>
        <n v="1236"/>
        <n v="968"/>
        <n v="166"/>
        <n v="921"/>
      </sharedItems>
    </cacheField>
    <cacheField name="Vendor_Rank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Cases_Number" numFmtId="0">
      <sharedItems containsSemiMixedTypes="0" containsString="0" containsNumber="1" containsInteger="1" minValue="406" maxValue="3880"/>
    </cacheField>
    <cacheField name="Median_Bottleneck" numFmtId="0">
      <sharedItems containsSemiMixedTypes="0" containsString="0" containsNumber="1" minValue="3.31" maxValue="91.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dra Laskowska" refreshedDate="46131.126396990738" createdVersion="8" refreshedVersion="8" minRefreshableVersion="3" recordCount="134" xr:uid="{FCA5EE2C-706B-43C9-873E-D7D07CFA4932}">
  <cacheSource type="worksheet">
    <worksheetSource name="RAW_SQL_Q3_Vendor"/>
  </cacheSource>
  <cacheFields count="6">
    <cacheField name="Vendor_key" numFmtId="0">
      <sharedItems containsSemiMixedTypes="0" containsString="0" containsNumber="1" containsInteger="1" minValue="1" maxValue="1962" count="134">
        <n v="196"/>
        <n v="1294"/>
        <n v="1696"/>
        <n v="24"/>
        <n v="789"/>
        <n v="531"/>
        <n v="739"/>
        <n v="4"/>
        <n v="1468"/>
        <n v="995"/>
        <n v="1501"/>
        <n v="1236"/>
        <n v="968"/>
        <n v="166"/>
        <n v="921"/>
        <n v="1727"/>
        <n v="1217"/>
        <n v="1074"/>
        <n v="1788"/>
        <n v="119"/>
        <n v="225"/>
        <n v="1205"/>
        <n v="1005"/>
        <n v="1227"/>
        <n v="1147"/>
        <n v="1235"/>
        <n v="922"/>
        <n v="1564"/>
        <n v="1466"/>
        <n v="1141"/>
        <n v="281"/>
        <n v="1038"/>
        <n v="936"/>
        <n v="91"/>
        <n v="69"/>
        <n v="484"/>
        <n v="1180"/>
        <n v="1267"/>
        <n v="435"/>
        <n v="1648"/>
        <n v="1607"/>
        <n v="87"/>
        <n v="1292"/>
        <n v="1400"/>
        <n v="1781"/>
        <n v="165"/>
        <n v="322"/>
        <n v="1857"/>
        <n v="256"/>
        <n v="1518"/>
        <n v="1228"/>
        <n v="1467"/>
        <n v="1882"/>
        <n v="841"/>
        <n v="147"/>
        <n v="1089"/>
        <n v="709"/>
        <n v="1674"/>
        <n v="1491"/>
        <n v="685"/>
        <n v="415"/>
        <n v="1895"/>
        <n v="1632"/>
        <n v="429"/>
        <n v="167"/>
        <n v="93"/>
        <n v="574"/>
        <n v="818"/>
        <n v="1192"/>
        <n v="460"/>
        <n v="1589"/>
        <n v="267"/>
        <n v="1441"/>
        <n v="750"/>
        <n v="1370"/>
        <n v="1595"/>
        <n v="1811"/>
        <n v="1962"/>
        <n v="1331"/>
        <n v="1779"/>
        <n v="980"/>
        <n v="1673"/>
        <n v="6"/>
        <n v="1396"/>
        <n v="1073"/>
        <n v="269"/>
        <n v="51"/>
        <n v="501"/>
        <n v="1533"/>
        <n v="883"/>
        <n v="580"/>
        <n v="268"/>
        <n v="1318"/>
        <n v="1881"/>
        <n v="459"/>
        <n v="584"/>
        <n v="819"/>
        <n v="302"/>
        <n v="223"/>
        <n v="645"/>
        <n v="140"/>
        <n v="595"/>
        <n v="1148"/>
        <n v="291"/>
        <n v="427"/>
        <n v="1208"/>
        <n v="1771"/>
        <n v="1107"/>
        <n v="581"/>
        <n v="1942"/>
        <n v="1198"/>
        <n v="638"/>
        <n v="343"/>
        <n v="634"/>
        <n v="637"/>
        <n v="458"/>
        <n v="1051"/>
        <n v="154"/>
        <n v="1219"/>
        <n v="420"/>
        <n v="1372"/>
        <n v="683"/>
        <n v="1018"/>
        <n v="11"/>
        <n v="303"/>
        <n v="31"/>
        <n v="710"/>
        <n v="926"/>
        <n v="1"/>
        <n v="697"/>
        <n v="903"/>
        <n v="582"/>
        <n v="488"/>
        <n v="133"/>
      </sharedItems>
    </cacheField>
    <cacheField name="Total_cases" numFmtId="0">
      <sharedItems containsSemiMixedTypes="0" containsString="0" containsNumber="1" containsInteger="1" minValue="100" maxValue="4406"/>
    </cacheField>
    <cacheField name="Delay_cases" numFmtId="0">
      <sharedItems containsSemiMixedTypes="0" containsString="0" containsNumber="1" containsInteger="1" minValue="0" maxValue="4175"/>
    </cacheField>
    <cacheField name="Delayed_Rate" numFmtId="0">
      <sharedItems containsSemiMixedTypes="0" containsString="0" containsNumber="1" minValue="0" maxValue="100"/>
    </cacheField>
    <cacheField name="Impact_Share" numFmtId="0">
      <sharedItems containsSemiMixedTypes="0" containsString="0" containsNumber="1" minValue="0" maxValue="9.9499999999999993"/>
    </cacheField>
    <cacheField name="Vendor_Rank" numFmtId="0">
      <sharedItems containsSemiMixedTypes="0" containsString="0" containsNumber="1" containsInteger="1" minValue="1" maxValue="121" count="12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dra Laskowska" refreshedDate="46131.126398148146" createdVersion="8" refreshedVersion="8" minRefreshableVersion="3" recordCount="9" xr:uid="{8BD37C69-8942-431D-867F-D7EFEB8DA67D}">
  <cacheSource type="worksheet">
    <worksheetSource name="WORK_Q2_Bottleneck"/>
  </cacheSource>
  <cacheFields count="3">
    <cacheField name="Cases Type" numFmtId="0">
      <sharedItems count="7">
        <s v="All"/>
        <s v="SLA"/>
        <s v="Non-SLA"/>
        <s v="Within SLA" u="1"/>
        <s v="Without SLA" u="1"/>
        <s v="&lt;=75 days" u="1"/>
        <s v="&gt;75 days" u="1"/>
      </sharedItems>
    </cacheField>
    <cacheField name="Stage" numFmtId="0">
      <sharedItems count="9">
        <s v="PO → GR"/>
        <s v="GR → IR"/>
        <s v="IR → CI"/>
        <s v="PO_GR_Step" u="1"/>
        <s v="GR_IR_Step" u="1"/>
        <s v="IR_CI_Step" u="1"/>
        <s v="PO_GR_Days" u="1"/>
        <s v="GR_IR_Days" u="1"/>
        <s v="IR_CI_Days" u="1"/>
      </sharedItems>
    </cacheField>
    <cacheField name="Median " numFmtId="2">
      <sharedItems containsSemiMixedTypes="0" containsString="0" containsNumber="1" minValue="10.77" maxValue="66.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dra Laskowska" refreshedDate="46131.126399189816" createdVersion="8" refreshedVersion="8" minRefreshableVersion="3" recordCount="9" xr:uid="{F88D34F3-01A5-43F0-99E1-7C6888A0D4B7}">
  <cacheSource type="worksheet">
    <worksheetSource name="WORK_Q2_Stage_Duaration"/>
  </cacheSource>
  <cacheFields count="4">
    <cacheField name="Cases Type" numFmtId="0">
      <sharedItems count="7">
        <s v="All"/>
        <s v="SLA"/>
        <s v="Non-SLA"/>
        <s v="Within SLA" u="1"/>
        <s v="Without SLA" u="1"/>
        <s v="&lt;=75 days" u="1"/>
        <s v="&gt;75 days" u="1"/>
      </sharedItems>
    </cacheField>
    <cacheField name="Stage" numFmtId="0">
      <sharedItems count="9">
        <s v="PO → GR"/>
        <s v="GR → IR"/>
        <s v="IR → CI"/>
        <s v="PO_GR_Step" u="1"/>
        <s v="GR_IR_Step" u="1"/>
        <s v="IR_CI_Step" u="1"/>
        <s v="PO_GR_Days" u="1"/>
        <s v="GR_IR_Days" u="1"/>
        <s v="IR_CI_Days" u="1"/>
      </sharedItems>
    </cacheField>
    <cacheField name="Median " numFmtId="0">
      <sharedItems containsSemiMixedTypes="0" containsString="0" containsNumber="1" containsInteger="1" minValue="5" maxValue="65"/>
    </cacheField>
    <cacheField name="P90" numFmtId="0">
      <sharedItems containsSemiMixedTypes="0" containsString="0" containsNumber="1" containsInteger="1" minValue="16" maxValue="1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dra Laskowska" refreshedDate="46131.126399884262" createdVersion="8" refreshedVersion="8" minRefreshableVersion="3" recordCount="34" xr:uid="{D494F9D8-2DD1-43F1-B87D-9E8F732719B4}">
  <cacheSource type="worksheet">
    <worksheetSource name="WORK_Q1_Weekly_Trend"/>
  </cacheSource>
  <cacheFields count="7">
    <cacheField name="Year" numFmtId="0">
      <sharedItems containsSemiMixedTypes="0" containsString="0" containsNumber="1" containsInteger="1" minValue="2018" maxValue="2019" count="2">
        <n v="2019"/>
        <n v="2018"/>
      </sharedItems>
    </cacheField>
    <cacheField name="Week" numFmtId="0">
      <sharedItems containsSemiMixedTypes="0" containsString="0" containsNumber="1" containsInteger="1" minValue="1" maxValue="52" count="14">
        <n v="3"/>
        <n v="2"/>
        <n v="1"/>
        <n v="52"/>
        <n v="51"/>
        <n v="50"/>
        <n v="49"/>
        <n v="48"/>
        <n v="47"/>
        <n v="46"/>
        <n v="45"/>
        <n v="44"/>
        <n v="43"/>
        <n v="42"/>
      </sharedItems>
    </cacheField>
    <cacheField name="Cases_Status" numFmtId="0">
      <sharedItems count="2">
        <s v="Open Cases"/>
        <s v="Closed Cases"/>
      </sharedItems>
    </cacheField>
    <cacheField name="Risk_Status" numFmtId="0">
      <sharedItems count="3">
        <s v="Acceptable"/>
        <s v="Watchlist"/>
        <s v="Overdue"/>
      </sharedItems>
    </cacheField>
    <cacheField name="Amount" numFmtId="0">
      <sharedItems containsSemiMixedTypes="0" containsString="0" containsNumber="1" containsInteger="1" minValue="1" maxValue="4885"/>
    </cacheField>
    <cacheField name="Ratio" numFmtId="2">
      <sharedItems containsSemiMixedTypes="0" containsString="0" containsNumber="1" minValue="0.19" maxValue="100"/>
    </cacheField>
    <cacheField name="Ratio Within Week" numFmtId="2">
      <sharedItems containsSemiMixedTypes="0" containsString="0" containsNumber="1" minValue="0.11454753722794959" maxValue="98.333333333333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dra Laskowska" refreshedDate="46131.126401273148" createdVersion="8" refreshedVersion="8" minRefreshableVersion="3" recordCount="10" xr:uid="{89BB859B-B59B-4132-A29D-ECDBF4307CCB}">
  <cacheSource type="worksheet">
    <worksheetSource name="RAW_Q1_Overview"/>
  </cacheSource>
  <cacheFields count="6">
    <cacheField name="Duration_Type" numFmtId="0">
      <sharedItems/>
    </cacheField>
    <cacheField name="Distribution_Buckets" numFmtId="0">
      <sharedItems containsMixedTypes="1" containsNumber="1" containsInteger="1" minValue="75" maxValue="150" count="5">
        <n v="75"/>
        <n v="90"/>
        <n v="120"/>
        <n v="150"/>
        <s v="&gt;150"/>
      </sharedItems>
    </cacheField>
    <cacheField name="Risk_Status" numFmtId="0">
      <sharedItems/>
    </cacheField>
    <cacheField name="Amount" numFmtId="0">
      <sharedItems containsSemiMixedTypes="0" containsString="0" containsNumber="1" containsInteger="1" minValue="1243" maxValue="43900"/>
    </cacheField>
    <cacheField name="Ratio" numFmtId="0">
      <sharedItems containsSemiMixedTypes="0" containsString="0" containsNumber="1" minValue="1.45" maxValue="52.71"/>
    </cacheField>
    <cacheField name="Case Status" numFmtId="0">
      <sharedItems count="2">
        <s v="Closed Cases"/>
        <s v="Open Cas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dra Laskowska" refreshedDate="46131.126401967595" createdVersion="8" refreshedVersion="8" minRefreshableVersion="3" recordCount="49" xr:uid="{C7A8D179-5DC3-48DA-9EDC-3987CBE0692C}">
  <cacheSource type="worksheet">
    <worksheetSource name="WORK_Q1_Monthly_Trend"/>
  </cacheSource>
  <cacheFields count="9">
    <cacheField name="Month" numFmtId="14">
      <sharedItems containsSemiMixedTypes="0" containsNonDate="0" containsDate="1" containsString="0" minDate="2018-01-01T00:00:00" maxDate="2019-01-02T00:00:00" count="13">
        <d v="2019-01-01T00:00:00"/>
        <d v="2018-12-01T00:00:00"/>
        <d v="2018-11-01T00:00:00"/>
        <d v="2018-10-01T00:00:00"/>
        <d v="2018-09-01T00:00:00"/>
        <d v="2018-08-01T00:00:00"/>
        <d v="2018-07-01T00:00:00"/>
        <d v="2018-06-01T00:00:00"/>
        <d v="2018-05-01T00:00:00"/>
        <d v="2018-04-01T00:00:00"/>
        <d v="2018-03-01T00:00:00"/>
        <d v="2018-02-01T00:00:00"/>
        <d v="2018-01-01T00:00:00"/>
      </sharedItems>
      <fieldGroup par="8"/>
    </cacheField>
    <cacheField name="Cases_Status" numFmtId="0">
      <sharedItems count="2">
        <s v="Open Cases"/>
        <s v="Closed Cases"/>
      </sharedItems>
    </cacheField>
    <cacheField name="Risk_Status" numFmtId="0">
      <sharedItems count="3">
        <s v="Acceptable"/>
        <s v="Watchlist"/>
        <s v="Overdue"/>
      </sharedItems>
    </cacheField>
    <cacheField name="Amount" numFmtId="0">
      <sharedItems containsSemiMixedTypes="0" containsString="0" containsNumber="1" containsInteger="1" minValue="5" maxValue="14474"/>
    </cacheField>
    <cacheField name="Ratio" numFmtId="2">
      <sharedItems containsSemiMixedTypes="0" containsString="0" containsNumber="1" minValue="0.09" maxValue="100" count="36">
        <n v="100"/>
        <n v="94.31"/>
        <n v="5.69"/>
        <n v="43.43"/>
        <n v="56.57"/>
        <n v="99.91"/>
        <n v="0.09"/>
        <n v="63.75"/>
        <n v="23.25"/>
        <n v="13"/>
        <n v="49.43"/>
        <n v="18.04"/>
        <n v="32.520000000000003"/>
        <n v="46.93"/>
        <n v="11.41"/>
        <n v="41.66"/>
        <n v="17.04"/>
        <n v="41.3"/>
        <n v="41.03"/>
        <n v="15.16"/>
        <n v="43.81"/>
        <n v="45.15"/>
        <n v="13.11"/>
        <n v="41.75"/>
        <n v="44.17"/>
        <n v="13.38"/>
        <n v="42.45"/>
        <n v="44.69"/>
        <n v="10.08"/>
        <n v="45.23"/>
        <n v="45.82"/>
        <n v="16.079999999999998"/>
        <n v="38.11"/>
        <n v="43.6"/>
        <n v="14.84"/>
        <n v="41.56"/>
      </sharedItems>
    </cacheField>
    <cacheField name="Ratio Within Month" numFmtId="2">
      <sharedItems containsSemiMixedTypes="0" containsString="0" containsNumber="1" minValue="2.3563787171874264E-2" maxValue="95.232385922843648"/>
    </cacheField>
    <cacheField name="Months (Month)" numFmtId="0" databaseField="0">
      <fieldGroup base="0">
        <rangePr groupBy="months" startDate="2018-01-01T00:00:00" endDate="2019-01-02T00:00:00"/>
        <groupItems count="14">
          <s v="&lt;01/0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1/2019"/>
        </groupItems>
      </fieldGroup>
    </cacheField>
    <cacheField name="Quarters (Month)" numFmtId="0" databaseField="0">
      <fieldGroup base="0">
        <rangePr groupBy="quarters" startDate="2018-01-01T00:00:00" endDate="2019-01-02T00:00:00"/>
        <groupItems count="6">
          <s v="&lt;01/01/2018"/>
          <s v="Qtr1"/>
          <s v="Qtr2"/>
          <s v="Qtr3"/>
          <s v="Qtr4"/>
          <s v="&gt;02/01/2019"/>
        </groupItems>
      </fieldGroup>
    </cacheField>
    <cacheField name="Years (Month)" numFmtId="0" databaseField="0">
      <fieldGroup base="0">
        <rangePr groupBy="years" startDate="2018-01-01T00:00:00" endDate="2019-01-02T00:00:00"/>
        <groupItems count="4">
          <s v="&lt;01/01/2018"/>
          <s v="2018"/>
          <s v="2019"/>
          <s v="&gt;02/01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dra Laskowska" refreshedDate="46131.718880902779" createdVersion="8" refreshedVersion="8" minRefreshableVersion="3" recordCount="54" xr:uid="{416F53F0-550C-433C-AD7D-299EC9AED51B}">
  <cacheSource type="worksheet">
    <worksheetSource name="RAW_SQL_Q3_Spend_area"/>
  </cacheSource>
  <cacheFields count="7">
    <cacheField name="Spend_Area_key" numFmtId="0">
      <sharedItems containsSemiMixedTypes="0" containsString="0" containsNumber="1" containsInteger="1" minValue="21" maxValue="250" count="54">
        <n v="92"/>
        <n v="93"/>
        <n v="112"/>
        <n v="97"/>
        <n v="134"/>
        <n v="94"/>
        <n v="29"/>
        <n v="230"/>
        <n v="35"/>
        <n v="34"/>
        <n v="63"/>
        <n v="21"/>
        <n v="123"/>
        <n v="96"/>
        <n v="27"/>
        <n v="119"/>
        <n v="62"/>
        <n v="24"/>
        <n v="239"/>
        <n v="231"/>
        <n v="28"/>
        <n v="102"/>
        <n v="77"/>
        <n v="108"/>
        <n v="132"/>
        <n v="65"/>
        <n v="36"/>
        <n v="210"/>
        <n v="250"/>
        <n v="116"/>
        <n v="211"/>
        <n v="100"/>
        <n v="233"/>
        <n v="32"/>
        <n v="81"/>
        <n v="118"/>
        <n v="232"/>
        <n v="109"/>
        <n v="38"/>
        <n v="22"/>
        <n v="95"/>
        <n v="209"/>
        <n v="82"/>
        <n v="103"/>
        <n v="98"/>
        <n v="88"/>
        <n v="40"/>
        <n v="41"/>
        <n v="175"/>
        <n v="111"/>
        <n v="104"/>
        <n v="55"/>
        <n v="79"/>
        <n v="84"/>
      </sharedItems>
    </cacheField>
    <cacheField name="Spend_area_sub" numFmtId="0">
      <sharedItems count="15">
        <s v="Packaging"/>
        <s v="Sales"/>
        <s v="Trading &amp; End Products"/>
        <s v="Additives"/>
        <s v="Latex &amp; Monomers"/>
        <s v="NULL"/>
        <s v="Specialty Resins"/>
        <s v="Solvents"/>
        <s v="Pigments &amp; Colorants"/>
        <s v="Marketing"/>
        <s v="Titanium Dioxides"/>
        <s v="Logistics"/>
        <s v="Others"/>
        <s v="CAPEX &amp; SOCS"/>
        <s v="Enterprise Services"/>
      </sharedItems>
    </cacheField>
    <cacheField name="Total_cases" numFmtId="0">
      <sharedItems containsSemiMixedTypes="0" containsString="0" containsNumber="1" containsInteger="1" minValue="101" maxValue="25882"/>
    </cacheField>
    <cacheField name="Delay_cases" numFmtId="0">
      <sharedItems containsSemiMixedTypes="0" containsString="0" containsNumber="1" containsInteger="1" minValue="3" maxValue="12270"/>
    </cacheField>
    <cacheField name="Delayed_Rate" numFmtId="0">
      <sharedItems containsSemiMixedTypes="0" containsString="0" containsNumber="1" minValue="1.92" maxValue="98.58"/>
    </cacheField>
    <cacheField name="Impact_Share" numFmtId="0">
      <sharedItems containsSemiMixedTypes="0" containsString="0" containsNumber="1" minValue="0.01" maxValue="29.25"/>
    </cacheField>
    <cacheField name="Spend_Area_Rank" numFmtId="0">
      <sharedItems containsSemiMixedTypes="0" containsString="0" containsNumber="1" containsInteger="1" minValue="1" maxValue="54" count="5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dra Laskowska" refreshedDate="46131.810803356479" createdVersion="8" refreshedVersion="8" minRefreshableVersion="3" recordCount="60" xr:uid="{FE2C82DF-E911-48B3-8AF6-850386338003}">
  <cacheSource type="worksheet">
    <worksheetSource name="RAW_SQL_Q3_Spend_area_duaration"/>
  </cacheSource>
  <cacheFields count="10">
    <cacheField name="Stage" numFmtId="0">
      <sharedItems count="3">
        <s v="PO_GR_Days"/>
        <s v="GR_IR_Days"/>
        <s v="IR_CI_Days"/>
      </sharedItems>
    </cacheField>
    <cacheField name="Spend_Area_key" numFmtId="0">
      <sharedItems containsSemiMixedTypes="0" containsString="0" containsNumber="1" containsInteger="1" minValue="29" maxValue="230" count="10">
        <n v="92"/>
        <n v="93"/>
        <n v="112"/>
        <n v="97"/>
        <n v="134"/>
        <n v="94"/>
        <n v="29"/>
        <n v="230"/>
        <n v="35"/>
        <n v="34"/>
      </sharedItems>
    </cacheField>
    <cacheField name="Spend_Area_Rank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Spend_area_sub" numFmtId="0">
      <sharedItems count="4">
        <s v="Packaging"/>
        <s v="Sales"/>
        <s v="Trading &amp; End Products"/>
        <s v="Additives"/>
      </sharedItems>
    </cacheField>
    <cacheField name="Spend_class" numFmtId="0">
      <sharedItems count="9">
        <s v="Labels"/>
        <s v="Metal Containers &amp; Lids &lt; 30L"/>
        <s v="Products for Resale"/>
        <s v="Plastic Containers &amp; Lids &lt; 30L"/>
        <s v="Trading products (old structure)"/>
        <s v="Packaging - Other"/>
        <s v="Extenders"/>
        <s v="Surfactants"/>
        <s v="Rheology &amp; Thixotropic Agents"/>
      </sharedItems>
    </cacheField>
    <cacheField name="Delay_flag" numFmtId="0">
      <sharedItems count="2">
        <s v="SLA"/>
        <s v="Non-SLA"/>
      </sharedItems>
    </cacheField>
    <cacheField name="Cases_Number" numFmtId="0">
      <sharedItems containsSemiMixedTypes="0" containsString="0" containsNumber="1" containsInteger="1" minValue="598" maxValue="25840"/>
    </cacheField>
    <cacheField name="Median" numFmtId="0">
      <sharedItems containsSemiMixedTypes="0" containsString="0" containsNumber="1" containsInteger="1" minValue="5" maxValue="91"/>
    </cacheField>
    <cacheField name="P90" numFmtId="0">
      <sharedItems containsSemiMixedTypes="0" containsString="0" containsNumber="1" containsInteger="1" minValue="11" maxValue="114"/>
    </cacheField>
    <cacheField name="IR-CI" numFmtId="0" formula=" 24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dra Laskowska" refreshedDate="46131.883465509258" createdVersion="8" refreshedVersion="8" minRefreshableVersion="3" recordCount="30" xr:uid="{38F844F9-148C-460E-9918-F49F35D15672}">
  <cacheSource type="worksheet">
    <worksheetSource name="RAW_SQL_Q3_Spend_area_bottleneck"/>
  </cacheSource>
  <cacheFields count="7">
    <cacheField name="Stage" numFmtId="0">
      <sharedItems count="3">
        <s v="PO_GR_Days"/>
        <s v="GR_IR_Days"/>
        <s v="IR_CI_Days"/>
      </sharedItems>
    </cacheField>
    <cacheField name="Spend_Area_key" numFmtId="0">
      <sharedItems containsSemiMixedTypes="0" containsString="0" containsNumber="1" containsInteger="1" minValue="29" maxValue="230" count="10">
        <n v="92"/>
        <n v="93"/>
        <n v="112"/>
        <n v="97"/>
        <n v="134"/>
        <n v="94"/>
        <n v="29"/>
        <n v="230"/>
        <n v="35"/>
        <n v="34"/>
      </sharedItems>
    </cacheField>
    <cacheField name="Spend_Area_Rank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Spend_area_sub" numFmtId="0">
      <sharedItems/>
    </cacheField>
    <cacheField name="Spend_class" numFmtId="0">
      <sharedItems/>
    </cacheField>
    <cacheField name="Cases_Number" numFmtId="0">
      <sharedItems containsSemiMixedTypes="0" containsString="0" containsNumber="1" containsInteger="1" minValue="448" maxValue="11706"/>
    </cacheField>
    <cacheField name="Median_Bottleneck" numFmtId="0">
      <sharedItems containsSemiMixedTypes="0" containsString="0" containsNumber="1" minValue="5.0999999999999996" maxValue="82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dra Laskowska" refreshedDate="46131.892252083337" createdVersion="8" refreshedVersion="8" minRefreshableVersion="3" recordCount="2" xr:uid="{F557A8B5-753B-4789-B51D-E10E0C31D6B3}">
  <cacheSource type="worksheet">
    <worksheetSource name="RAW_SQL_Q3_Company"/>
  </cacheSource>
  <cacheFields count="6">
    <cacheField name="Company_key" numFmtId="0">
      <sharedItems containsSemiMixedTypes="0" containsString="0" containsNumber="1" containsInteger="1" minValue="1" maxValue="4" count="2">
        <n v="4"/>
        <n v="1"/>
      </sharedItems>
    </cacheField>
    <cacheField name="Total_cases" numFmtId="0">
      <sharedItems containsSemiMixedTypes="0" containsString="0" containsNumber="1" containsInteger="1" minValue="235" maxValue="85610"/>
    </cacheField>
    <cacheField name="Delay_cases" numFmtId="0">
      <sharedItems containsSemiMixedTypes="0" containsString="0" containsNumber="1" containsInteger="1" minValue="4" maxValue="41941"/>
    </cacheField>
    <cacheField name="Delayed_Rate" numFmtId="0">
      <sharedItems containsSemiMixedTypes="0" containsString="0" containsNumber="1" minValue="1.7" maxValue="48.99"/>
    </cacheField>
    <cacheField name="Impact_Share" numFmtId="0">
      <sharedItems containsSemiMixedTypes="0" containsString="0" containsNumber="1" minValue="0.01" maxValue="99.99"/>
    </cacheField>
    <cacheField name="Company_Rank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x v="0"/>
    <x v="0"/>
    <n v="4187"/>
    <n v="15"/>
    <n v="20"/>
  </r>
  <r>
    <x v="0"/>
    <x v="0"/>
    <x v="0"/>
    <x v="1"/>
    <n v="4187"/>
    <n v="1"/>
    <n v="19"/>
  </r>
  <r>
    <x v="1"/>
    <x v="0"/>
    <x v="0"/>
    <x v="0"/>
    <n v="3896"/>
    <n v="4"/>
    <n v="45"/>
  </r>
  <r>
    <x v="1"/>
    <x v="0"/>
    <x v="0"/>
    <x v="1"/>
    <n v="3896"/>
    <n v="32"/>
    <n v="32"/>
  </r>
  <r>
    <x v="2"/>
    <x v="0"/>
    <x v="0"/>
    <x v="1"/>
    <n v="4176"/>
    <n v="16"/>
    <n v="35"/>
  </r>
  <r>
    <x v="2"/>
    <x v="0"/>
    <x v="0"/>
    <x v="0"/>
    <n v="4176"/>
    <n v="105"/>
    <n v="120"/>
  </r>
  <r>
    <x v="0"/>
    <x v="1"/>
    <x v="1"/>
    <x v="1"/>
    <n v="4403"/>
    <n v="14"/>
    <n v="21"/>
  </r>
  <r>
    <x v="0"/>
    <x v="1"/>
    <x v="1"/>
    <x v="0"/>
    <n v="4403"/>
    <n v="14"/>
    <n v="18"/>
  </r>
  <r>
    <x v="1"/>
    <x v="1"/>
    <x v="1"/>
    <x v="1"/>
    <n v="4372"/>
    <n v="3"/>
    <n v="14"/>
  </r>
  <r>
    <x v="1"/>
    <x v="1"/>
    <x v="1"/>
    <x v="0"/>
    <n v="4372"/>
    <n v="7"/>
    <n v="24"/>
  </r>
  <r>
    <x v="2"/>
    <x v="1"/>
    <x v="1"/>
    <x v="0"/>
    <n v="4402"/>
    <n v="90"/>
    <n v="112"/>
  </r>
  <r>
    <x v="2"/>
    <x v="1"/>
    <x v="1"/>
    <x v="1"/>
    <n v="4402"/>
    <n v="39"/>
    <n v="51"/>
  </r>
  <r>
    <x v="0"/>
    <x v="2"/>
    <x v="2"/>
    <x v="1"/>
    <n v="3477"/>
    <n v="4"/>
    <n v="9"/>
  </r>
  <r>
    <x v="0"/>
    <x v="2"/>
    <x v="2"/>
    <x v="0"/>
    <n v="3477"/>
    <n v="8"/>
    <n v="26"/>
  </r>
  <r>
    <x v="1"/>
    <x v="2"/>
    <x v="2"/>
    <x v="0"/>
    <n v="3459"/>
    <n v="3"/>
    <n v="17"/>
  </r>
  <r>
    <x v="1"/>
    <x v="2"/>
    <x v="2"/>
    <x v="1"/>
    <n v="3459"/>
    <n v="5"/>
    <n v="16"/>
  </r>
  <r>
    <x v="2"/>
    <x v="2"/>
    <x v="2"/>
    <x v="1"/>
    <n v="3474"/>
    <n v="59"/>
    <n v="68"/>
  </r>
  <r>
    <x v="2"/>
    <x v="2"/>
    <x v="2"/>
    <x v="0"/>
    <n v="3474"/>
    <n v="73"/>
    <n v="85"/>
  </r>
  <r>
    <x v="0"/>
    <x v="3"/>
    <x v="3"/>
    <x v="0"/>
    <n v="2826"/>
    <n v="8"/>
    <n v="29"/>
  </r>
  <r>
    <x v="0"/>
    <x v="3"/>
    <x v="3"/>
    <x v="1"/>
    <n v="2826"/>
    <n v="7"/>
    <n v="21"/>
  </r>
  <r>
    <x v="1"/>
    <x v="3"/>
    <x v="3"/>
    <x v="0"/>
    <n v="2814"/>
    <n v="6"/>
    <n v="14"/>
  </r>
  <r>
    <x v="1"/>
    <x v="3"/>
    <x v="3"/>
    <x v="1"/>
    <n v="2814"/>
    <n v="6"/>
    <n v="12"/>
  </r>
  <r>
    <x v="2"/>
    <x v="3"/>
    <x v="3"/>
    <x v="1"/>
    <n v="2823"/>
    <n v="38"/>
    <n v="63"/>
  </r>
  <r>
    <x v="2"/>
    <x v="3"/>
    <x v="3"/>
    <x v="0"/>
    <n v="2823"/>
    <n v="74"/>
    <n v="87"/>
  </r>
  <r>
    <x v="0"/>
    <x v="4"/>
    <x v="4"/>
    <x v="1"/>
    <n v="2000"/>
    <n v="0"/>
    <n v="0"/>
  </r>
  <r>
    <x v="0"/>
    <x v="4"/>
    <x v="4"/>
    <x v="0"/>
    <n v="2000"/>
    <n v="8"/>
    <n v="11"/>
  </r>
  <r>
    <x v="1"/>
    <x v="4"/>
    <x v="4"/>
    <x v="0"/>
    <n v="1983"/>
    <n v="11"/>
    <n v="35"/>
  </r>
  <r>
    <x v="1"/>
    <x v="4"/>
    <x v="4"/>
    <x v="1"/>
    <n v="1983"/>
    <n v="27"/>
    <n v="27"/>
  </r>
  <r>
    <x v="2"/>
    <x v="4"/>
    <x v="4"/>
    <x v="0"/>
    <n v="1999"/>
    <n v="86"/>
    <n v="109"/>
  </r>
  <r>
    <x v="2"/>
    <x v="4"/>
    <x v="4"/>
    <x v="1"/>
    <n v="1999"/>
    <n v="3"/>
    <n v="3"/>
  </r>
  <r>
    <x v="0"/>
    <x v="5"/>
    <x v="5"/>
    <x v="0"/>
    <n v="1633"/>
    <n v="5"/>
    <n v="12"/>
  </r>
  <r>
    <x v="1"/>
    <x v="5"/>
    <x v="5"/>
    <x v="0"/>
    <n v="1550"/>
    <n v="4"/>
    <n v="9"/>
  </r>
  <r>
    <x v="2"/>
    <x v="5"/>
    <x v="5"/>
    <x v="0"/>
    <n v="1632"/>
    <n v="101"/>
    <n v="115"/>
  </r>
  <r>
    <x v="0"/>
    <x v="6"/>
    <x v="6"/>
    <x v="1"/>
    <n v="1782"/>
    <n v="7"/>
    <n v="16"/>
  </r>
  <r>
    <x v="0"/>
    <x v="6"/>
    <x v="6"/>
    <x v="0"/>
    <n v="1782"/>
    <n v="7"/>
    <n v="9"/>
  </r>
  <r>
    <x v="1"/>
    <x v="6"/>
    <x v="6"/>
    <x v="1"/>
    <n v="1778"/>
    <n v="40"/>
    <n v="55"/>
  </r>
  <r>
    <x v="1"/>
    <x v="6"/>
    <x v="6"/>
    <x v="0"/>
    <n v="1778"/>
    <n v="46"/>
    <n v="68"/>
  </r>
  <r>
    <x v="2"/>
    <x v="6"/>
    <x v="6"/>
    <x v="1"/>
    <n v="1782"/>
    <n v="23"/>
    <n v="34"/>
  </r>
  <r>
    <x v="2"/>
    <x v="6"/>
    <x v="6"/>
    <x v="0"/>
    <n v="1782"/>
    <n v="34"/>
    <n v="71"/>
  </r>
  <r>
    <x v="0"/>
    <x v="7"/>
    <x v="7"/>
    <x v="1"/>
    <n v="962"/>
    <n v="7"/>
    <n v="13"/>
  </r>
  <r>
    <x v="0"/>
    <x v="7"/>
    <x v="7"/>
    <x v="0"/>
    <n v="962"/>
    <n v="13"/>
    <n v="31"/>
  </r>
  <r>
    <x v="1"/>
    <x v="7"/>
    <x v="7"/>
    <x v="1"/>
    <n v="943"/>
    <n v="30"/>
    <n v="39"/>
  </r>
  <r>
    <x v="1"/>
    <x v="7"/>
    <x v="7"/>
    <x v="0"/>
    <n v="943"/>
    <n v="32"/>
    <n v="61"/>
  </r>
  <r>
    <x v="2"/>
    <x v="7"/>
    <x v="7"/>
    <x v="1"/>
    <n v="960"/>
    <n v="28"/>
    <n v="64"/>
  </r>
  <r>
    <x v="2"/>
    <x v="7"/>
    <x v="7"/>
    <x v="0"/>
    <n v="960"/>
    <n v="49"/>
    <n v="77"/>
  </r>
  <r>
    <x v="0"/>
    <x v="8"/>
    <x v="8"/>
    <x v="0"/>
    <n v="1116"/>
    <n v="12"/>
    <n v="22"/>
  </r>
  <r>
    <x v="0"/>
    <x v="8"/>
    <x v="8"/>
    <x v="1"/>
    <n v="1116"/>
    <n v="11"/>
    <n v="20"/>
  </r>
  <r>
    <x v="1"/>
    <x v="8"/>
    <x v="8"/>
    <x v="1"/>
    <n v="1116"/>
    <n v="14"/>
    <n v="33"/>
  </r>
  <r>
    <x v="1"/>
    <x v="8"/>
    <x v="8"/>
    <x v="0"/>
    <n v="1116"/>
    <n v="54"/>
    <n v="114"/>
  </r>
  <r>
    <x v="2"/>
    <x v="8"/>
    <x v="8"/>
    <x v="1"/>
    <n v="1104"/>
    <n v="14"/>
    <n v="24"/>
  </r>
  <r>
    <x v="2"/>
    <x v="8"/>
    <x v="8"/>
    <x v="0"/>
    <n v="1104"/>
    <n v="24"/>
    <n v="42"/>
  </r>
  <r>
    <x v="0"/>
    <x v="9"/>
    <x v="9"/>
    <x v="1"/>
    <n v="1278"/>
    <n v="21"/>
    <n v="31"/>
  </r>
  <r>
    <x v="0"/>
    <x v="9"/>
    <x v="9"/>
    <x v="0"/>
    <n v="1278"/>
    <n v="31"/>
    <n v="55"/>
  </r>
  <r>
    <x v="1"/>
    <x v="9"/>
    <x v="9"/>
    <x v="0"/>
    <n v="1268"/>
    <n v="27"/>
    <n v="51"/>
  </r>
  <r>
    <x v="1"/>
    <x v="9"/>
    <x v="9"/>
    <x v="1"/>
    <n v="1268"/>
    <n v="10"/>
    <n v="26"/>
  </r>
  <r>
    <x v="2"/>
    <x v="9"/>
    <x v="9"/>
    <x v="1"/>
    <n v="1277"/>
    <n v="24"/>
    <n v="36"/>
  </r>
  <r>
    <x v="2"/>
    <x v="9"/>
    <x v="9"/>
    <x v="0"/>
    <n v="1277"/>
    <n v="22"/>
    <n v="45"/>
  </r>
  <r>
    <x v="0"/>
    <x v="10"/>
    <x v="10"/>
    <x v="1"/>
    <n v="636"/>
    <n v="7"/>
    <n v="13"/>
  </r>
  <r>
    <x v="0"/>
    <x v="10"/>
    <x v="10"/>
    <x v="0"/>
    <n v="636"/>
    <n v="8"/>
    <n v="16"/>
  </r>
  <r>
    <x v="1"/>
    <x v="10"/>
    <x v="10"/>
    <x v="0"/>
    <n v="628"/>
    <n v="17"/>
    <n v="54"/>
  </r>
  <r>
    <x v="1"/>
    <x v="10"/>
    <x v="10"/>
    <x v="1"/>
    <n v="628"/>
    <n v="7"/>
    <n v="16"/>
  </r>
  <r>
    <x v="2"/>
    <x v="10"/>
    <x v="10"/>
    <x v="1"/>
    <n v="636"/>
    <n v="46"/>
    <n v="63"/>
  </r>
  <r>
    <x v="2"/>
    <x v="10"/>
    <x v="10"/>
    <x v="0"/>
    <n v="636"/>
    <n v="60"/>
    <n v="78"/>
  </r>
  <r>
    <x v="0"/>
    <x v="11"/>
    <x v="11"/>
    <x v="0"/>
    <n v="1889"/>
    <n v="4"/>
    <n v="30"/>
  </r>
  <r>
    <x v="0"/>
    <x v="11"/>
    <x v="11"/>
    <x v="1"/>
    <n v="1889"/>
    <n v="2"/>
    <n v="5"/>
  </r>
  <r>
    <x v="1"/>
    <x v="11"/>
    <x v="11"/>
    <x v="0"/>
    <n v="1889"/>
    <n v="58"/>
    <n v="113"/>
  </r>
  <r>
    <x v="1"/>
    <x v="11"/>
    <x v="11"/>
    <x v="1"/>
    <n v="1889"/>
    <n v="46"/>
    <n v="62"/>
  </r>
  <r>
    <x v="2"/>
    <x v="11"/>
    <x v="11"/>
    <x v="0"/>
    <n v="1888"/>
    <n v="21"/>
    <n v="36"/>
  </r>
  <r>
    <x v="2"/>
    <x v="11"/>
    <x v="11"/>
    <x v="1"/>
    <n v="1888"/>
    <n v="7"/>
    <n v="21"/>
  </r>
  <r>
    <x v="0"/>
    <x v="12"/>
    <x v="12"/>
    <x v="1"/>
    <n v="434"/>
    <n v="5"/>
    <n v="6"/>
  </r>
  <r>
    <x v="0"/>
    <x v="12"/>
    <x v="12"/>
    <x v="0"/>
    <n v="434"/>
    <n v="5"/>
    <n v="19"/>
  </r>
  <r>
    <x v="1"/>
    <x v="12"/>
    <x v="12"/>
    <x v="1"/>
    <n v="428"/>
    <n v="38"/>
    <n v="39"/>
  </r>
  <r>
    <x v="1"/>
    <x v="12"/>
    <x v="12"/>
    <x v="0"/>
    <n v="428"/>
    <n v="30"/>
    <n v="76"/>
  </r>
  <r>
    <x v="2"/>
    <x v="12"/>
    <x v="12"/>
    <x v="0"/>
    <n v="434"/>
    <n v="67"/>
    <n v="91"/>
  </r>
  <r>
    <x v="2"/>
    <x v="12"/>
    <x v="12"/>
    <x v="1"/>
    <n v="434"/>
    <n v="0"/>
    <n v="0"/>
  </r>
  <r>
    <x v="0"/>
    <x v="13"/>
    <x v="13"/>
    <x v="0"/>
    <n v="436"/>
    <n v="14"/>
    <n v="16"/>
  </r>
  <r>
    <x v="0"/>
    <x v="13"/>
    <x v="13"/>
    <x v="1"/>
    <n v="436"/>
    <n v="14"/>
    <n v="14"/>
  </r>
  <r>
    <x v="1"/>
    <x v="13"/>
    <x v="13"/>
    <x v="0"/>
    <n v="419"/>
    <n v="22"/>
    <n v="62"/>
  </r>
  <r>
    <x v="2"/>
    <x v="13"/>
    <x v="13"/>
    <x v="0"/>
    <n v="436"/>
    <n v="55"/>
    <n v="80"/>
  </r>
  <r>
    <x v="2"/>
    <x v="13"/>
    <x v="13"/>
    <x v="1"/>
    <n v="436"/>
    <n v="63"/>
    <n v="63"/>
  </r>
  <r>
    <x v="0"/>
    <x v="14"/>
    <x v="14"/>
    <x v="1"/>
    <n v="481"/>
    <n v="10"/>
    <n v="16"/>
  </r>
  <r>
    <x v="0"/>
    <x v="14"/>
    <x v="14"/>
    <x v="0"/>
    <n v="481"/>
    <n v="14"/>
    <n v="23"/>
  </r>
  <r>
    <x v="1"/>
    <x v="14"/>
    <x v="14"/>
    <x v="0"/>
    <n v="466"/>
    <n v="21"/>
    <n v="39"/>
  </r>
  <r>
    <x v="1"/>
    <x v="14"/>
    <x v="14"/>
    <x v="1"/>
    <n v="466"/>
    <n v="21"/>
    <n v="28"/>
  </r>
  <r>
    <x v="2"/>
    <x v="14"/>
    <x v="14"/>
    <x v="0"/>
    <n v="478"/>
    <n v="51"/>
    <n v="72"/>
  </r>
  <r>
    <x v="2"/>
    <x v="14"/>
    <x v="14"/>
    <x v="1"/>
    <n v="478"/>
    <n v="37"/>
    <n v="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n v="3880"/>
    <n v="11.86"/>
  </r>
  <r>
    <x v="1"/>
    <x v="0"/>
    <x v="0"/>
    <n v="3880"/>
    <n v="3.31"/>
  </r>
  <r>
    <x v="2"/>
    <x v="0"/>
    <x v="0"/>
    <n v="3880"/>
    <n v="84.17"/>
  </r>
  <r>
    <x v="0"/>
    <x v="1"/>
    <x v="1"/>
    <n v="3547"/>
    <n v="11.67"/>
  </r>
  <r>
    <x v="1"/>
    <x v="1"/>
    <x v="1"/>
    <n v="3547"/>
    <n v="6.48"/>
  </r>
  <r>
    <x v="2"/>
    <x v="1"/>
    <x v="1"/>
    <n v="3547"/>
    <n v="81.900000000000006"/>
  </r>
  <r>
    <x v="0"/>
    <x v="2"/>
    <x v="2"/>
    <n v="2663"/>
    <n v="9.09"/>
  </r>
  <r>
    <x v="1"/>
    <x v="2"/>
    <x v="2"/>
    <n v="2663"/>
    <n v="3.8"/>
  </r>
  <r>
    <x v="2"/>
    <x v="2"/>
    <x v="2"/>
    <n v="2663"/>
    <n v="84.62"/>
  </r>
  <r>
    <x v="0"/>
    <x v="3"/>
    <x v="3"/>
    <n v="2337"/>
    <n v="9.57"/>
  </r>
  <r>
    <x v="1"/>
    <x v="3"/>
    <x v="3"/>
    <n v="2337"/>
    <n v="6.9"/>
  </r>
  <r>
    <x v="2"/>
    <x v="3"/>
    <x v="3"/>
    <n v="2337"/>
    <n v="80.22"/>
  </r>
  <r>
    <x v="0"/>
    <x v="4"/>
    <x v="4"/>
    <n v="1981"/>
    <n v="7.76"/>
  </r>
  <r>
    <x v="1"/>
    <x v="4"/>
    <x v="4"/>
    <n v="1981"/>
    <n v="9.9"/>
  </r>
  <r>
    <x v="2"/>
    <x v="4"/>
    <x v="4"/>
    <n v="1981"/>
    <n v="82.79"/>
  </r>
  <r>
    <x v="0"/>
    <x v="5"/>
    <x v="5"/>
    <n v="1549"/>
    <n v="4.24"/>
  </r>
  <r>
    <x v="1"/>
    <x v="5"/>
    <x v="5"/>
    <n v="1549"/>
    <n v="4"/>
  </r>
  <r>
    <x v="2"/>
    <x v="5"/>
    <x v="5"/>
    <n v="1549"/>
    <n v="91.92"/>
  </r>
  <r>
    <x v="0"/>
    <x v="6"/>
    <x v="6"/>
    <n v="1061"/>
    <n v="6.14"/>
  </r>
  <r>
    <x v="1"/>
    <x v="6"/>
    <x v="6"/>
    <n v="1061"/>
    <n v="50"/>
  </r>
  <r>
    <x v="2"/>
    <x v="6"/>
    <x v="6"/>
    <n v="1061"/>
    <n v="40"/>
  </r>
  <r>
    <x v="0"/>
    <x v="7"/>
    <x v="7"/>
    <n v="886"/>
    <n v="14.47"/>
  </r>
  <r>
    <x v="1"/>
    <x v="7"/>
    <x v="7"/>
    <n v="886"/>
    <n v="33.04"/>
  </r>
  <r>
    <x v="2"/>
    <x v="7"/>
    <x v="7"/>
    <n v="886"/>
    <n v="51.77"/>
  </r>
  <r>
    <x v="0"/>
    <x v="8"/>
    <x v="8"/>
    <n v="591"/>
    <n v="12.58"/>
  </r>
  <r>
    <x v="1"/>
    <x v="8"/>
    <x v="8"/>
    <n v="591"/>
    <n v="58.33"/>
  </r>
  <r>
    <x v="2"/>
    <x v="8"/>
    <x v="8"/>
    <n v="591"/>
    <n v="27.38"/>
  </r>
  <r>
    <x v="0"/>
    <x v="9"/>
    <x v="9"/>
    <n v="504"/>
    <n v="35.630000000000003"/>
  </r>
  <r>
    <x v="1"/>
    <x v="9"/>
    <x v="9"/>
    <n v="504"/>
    <n v="28.57"/>
  </r>
  <r>
    <x v="2"/>
    <x v="9"/>
    <x v="9"/>
    <n v="504"/>
    <n v="27.16"/>
  </r>
  <r>
    <x v="0"/>
    <x v="10"/>
    <x v="10"/>
    <n v="458"/>
    <n v="10"/>
  </r>
  <r>
    <x v="1"/>
    <x v="10"/>
    <x v="10"/>
    <n v="458"/>
    <n v="19.510000000000002"/>
  </r>
  <r>
    <x v="2"/>
    <x v="10"/>
    <x v="10"/>
    <n v="458"/>
    <n v="68.180000000000007"/>
  </r>
  <r>
    <x v="0"/>
    <x v="11"/>
    <x v="11"/>
    <n v="455"/>
    <n v="4.76"/>
  </r>
  <r>
    <x v="1"/>
    <x v="11"/>
    <x v="11"/>
    <n v="455"/>
    <n v="67.53"/>
  </r>
  <r>
    <x v="2"/>
    <x v="11"/>
    <x v="11"/>
    <n v="455"/>
    <n v="27.27"/>
  </r>
  <r>
    <x v="0"/>
    <x v="12"/>
    <x v="12"/>
    <n v="426"/>
    <n v="4.2"/>
  </r>
  <r>
    <x v="1"/>
    <x v="12"/>
    <x v="12"/>
    <n v="426"/>
    <n v="28.88"/>
  </r>
  <r>
    <x v="2"/>
    <x v="12"/>
    <x v="12"/>
    <n v="426"/>
    <n v="69.150000000000006"/>
  </r>
  <r>
    <x v="0"/>
    <x v="13"/>
    <x v="13"/>
    <n v="419"/>
    <n v="15.91"/>
  </r>
  <r>
    <x v="1"/>
    <x v="13"/>
    <x v="13"/>
    <n v="419"/>
    <n v="24.21"/>
  </r>
  <r>
    <x v="2"/>
    <x v="13"/>
    <x v="13"/>
    <n v="419"/>
    <n v="60"/>
  </r>
  <r>
    <x v="0"/>
    <x v="14"/>
    <x v="14"/>
    <n v="406"/>
    <n v="16.87"/>
  </r>
  <r>
    <x v="1"/>
    <x v="14"/>
    <x v="14"/>
    <n v="406"/>
    <n v="24.44"/>
  </r>
  <r>
    <x v="2"/>
    <x v="14"/>
    <x v="14"/>
    <n v="406"/>
    <n v="59.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n v="4195"/>
    <n v="4175"/>
    <n v="99.52"/>
    <n v="9.9499999999999993"/>
    <x v="0"/>
  </r>
  <r>
    <x v="1"/>
    <n v="4406"/>
    <n v="3566"/>
    <n v="80.94"/>
    <n v="8.5"/>
    <x v="1"/>
  </r>
  <r>
    <x v="2"/>
    <n v="3477"/>
    <n v="2673"/>
    <n v="76.88"/>
    <n v="6.37"/>
    <x v="2"/>
  </r>
  <r>
    <x v="3"/>
    <n v="2827"/>
    <n v="2351"/>
    <n v="83.16"/>
    <n v="5.6"/>
    <x v="3"/>
  </r>
  <r>
    <x v="4"/>
    <n v="2000"/>
    <n v="1999"/>
    <n v="99.95"/>
    <n v="4.7699999999999996"/>
    <x v="4"/>
  </r>
  <r>
    <x v="5"/>
    <n v="1633"/>
    <n v="1633"/>
    <n v="100"/>
    <n v="3.89"/>
    <x v="5"/>
  </r>
  <r>
    <x v="6"/>
    <n v="1782"/>
    <n v="1065"/>
    <n v="59.76"/>
    <n v="2.54"/>
    <x v="6"/>
  </r>
  <r>
    <x v="7"/>
    <n v="962"/>
    <n v="907"/>
    <n v="94.28"/>
    <n v="2.16"/>
    <x v="7"/>
  </r>
  <r>
    <x v="8"/>
    <n v="1116"/>
    <n v="601"/>
    <n v="53.85"/>
    <n v="1.43"/>
    <x v="8"/>
  </r>
  <r>
    <x v="9"/>
    <n v="1299"/>
    <n v="507"/>
    <n v="39.03"/>
    <n v="1.21"/>
    <x v="9"/>
  </r>
  <r>
    <x v="10"/>
    <n v="637"/>
    <n v="461"/>
    <n v="72.37"/>
    <n v="1.1000000000000001"/>
    <x v="10"/>
  </r>
  <r>
    <x v="11"/>
    <n v="1892"/>
    <n v="456"/>
    <n v="24.1"/>
    <n v="1.0900000000000001"/>
    <x v="11"/>
  </r>
  <r>
    <x v="12"/>
    <n v="439"/>
    <n v="437"/>
    <n v="99.54"/>
    <n v="1.04"/>
    <x v="12"/>
  </r>
  <r>
    <x v="13"/>
    <n v="436"/>
    <n v="419"/>
    <n v="96.1"/>
    <n v="1"/>
    <x v="13"/>
  </r>
  <r>
    <x v="14"/>
    <n v="482"/>
    <n v="421"/>
    <n v="87.34"/>
    <n v="1"/>
    <x v="14"/>
  </r>
  <r>
    <x v="15"/>
    <n v="422"/>
    <n v="401"/>
    <n v="95.02"/>
    <n v="0.96"/>
    <x v="15"/>
  </r>
  <r>
    <x v="16"/>
    <n v="409"/>
    <n v="368"/>
    <n v="89.98"/>
    <n v="0.88"/>
    <x v="16"/>
  </r>
  <r>
    <x v="17"/>
    <n v="364"/>
    <n v="361"/>
    <n v="99.18"/>
    <n v="0.86"/>
    <x v="17"/>
  </r>
  <r>
    <x v="18"/>
    <n v="388"/>
    <n v="357"/>
    <n v="92.01"/>
    <n v="0.85"/>
    <x v="18"/>
  </r>
  <r>
    <x v="19"/>
    <n v="528"/>
    <n v="352"/>
    <n v="66.67"/>
    <n v="0.84"/>
    <x v="19"/>
  </r>
  <r>
    <x v="20"/>
    <n v="338"/>
    <n v="338"/>
    <n v="100"/>
    <n v="0.81"/>
    <x v="20"/>
  </r>
  <r>
    <x v="21"/>
    <n v="466"/>
    <n v="340"/>
    <n v="72.959999999999994"/>
    <n v="0.81"/>
    <x v="21"/>
  </r>
  <r>
    <x v="22"/>
    <n v="342"/>
    <n v="334"/>
    <n v="97.66"/>
    <n v="0.8"/>
    <x v="22"/>
  </r>
  <r>
    <x v="23"/>
    <n v="345"/>
    <n v="322"/>
    <n v="93.33"/>
    <n v="0.77"/>
    <x v="23"/>
  </r>
  <r>
    <x v="24"/>
    <n v="299"/>
    <n v="299"/>
    <n v="100"/>
    <n v="0.71"/>
    <x v="24"/>
  </r>
  <r>
    <x v="25"/>
    <n v="341"/>
    <n v="286"/>
    <n v="83.87"/>
    <n v="0.68"/>
    <x v="25"/>
  </r>
  <r>
    <x v="26"/>
    <n v="552"/>
    <n v="286"/>
    <n v="51.81"/>
    <n v="0.68"/>
    <x v="26"/>
  </r>
  <r>
    <x v="27"/>
    <n v="584"/>
    <n v="282"/>
    <n v="48.29"/>
    <n v="0.67"/>
    <x v="27"/>
  </r>
  <r>
    <x v="28"/>
    <n v="713"/>
    <n v="255"/>
    <n v="35.76"/>
    <n v="0.61"/>
    <x v="28"/>
  </r>
  <r>
    <x v="29"/>
    <n v="291"/>
    <n v="250"/>
    <n v="85.91"/>
    <n v="0.6"/>
    <x v="29"/>
  </r>
  <r>
    <x v="30"/>
    <n v="245"/>
    <n v="245"/>
    <n v="100"/>
    <n v="0.57999999999999996"/>
    <x v="30"/>
  </r>
  <r>
    <x v="31"/>
    <n v="264"/>
    <n v="243"/>
    <n v="92.05"/>
    <n v="0.57999999999999996"/>
    <x v="31"/>
  </r>
  <r>
    <x v="32"/>
    <n v="225"/>
    <n v="224"/>
    <n v="99.56"/>
    <n v="0.53"/>
    <x v="32"/>
  </r>
  <r>
    <x v="33"/>
    <n v="226"/>
    <n v="214"/>
    <n v="94.69"/>
    <n v="0.51"/>
    <x v="33"/>
  </r>
  <r>
    <x v="34"/>
    <n v="228"/>
    <n v="201"/>
    <n v="88.16"/>
    <n v="0.48"/>
    <x v="34"/>
  </r>
  <r>
    <x v="35"/>
    <n v="483"/>
    <n v="202"/>
    <n v="41.82"/>
    <n v="0.48"/>
    <x v="35"/>
  </r>
  <r>
    <x v="36"/>
    <n v="278"/>
    <n v="195"/>
    <n v="70.14"/>
    <n v="0.46"/>
    <x v="36"/>
  </r>
  <r>
    <x v="37"/>
    <n v="186"/>
    <n v="186"/>
    <n v="100"/>
    <n v="0.44"/>
    <x v="37"/>
  </r>
  <r>
    <x v="38"/>
    <n v="183"/>
    <n v="181"/>
    <n v="98.91"/>
    <n v="0.43"/>
    <x v="38"/>
  </r>
  <r>
    <x v="39"/>
    <n v="1844"/>
    <n v="179"/>
    <n v="9.7100000000000009"/>
    <n v="0.43"/>
    <x v="39"/>
  </r>
  <r>
    <x v="40"/>
    <n v="410"/>
    <n v="170"/>
    <n v="41.46"/>
    <n v="0.41"/>
    <x v="40"/>
  </r>
  <r>
    <x v="41"/>
    <n v="172"/>
    <n v="164"/>
    <n v="95.35"/>
    <n v="0.39"/>
    <x v="41"/>
  </r>
  <r>
    <x v="42"/>
    <n v="170"/>
    <n v="159"/>
    <n v="93.53"/>
    <n v="0.38"/>
    <x v="42"/>
  </r>
  <r>
    <x v="43"/>
    <n v="164"/>
    <n v="152"/>
    <n v="92.68"/>
    <n v="0.36"/>
    <x v="43"/>
  </r>
  <r>
    <x v="44"/>
    <n v="144"/>
    <n v="144"/>
    <n v="100"/>
    <n v="0.34"/>
    <x v="44"/>
  </r>
  <r>
    <x v="45"/>
    <n v="341"/>
    <n v="141"/>
    <n v="41.35"/>
    <n v="0.34"/>
    <x v="45"/>
  </r>
  <r>
    <x v="46"/>
    <n v="137"/>
    <n v="137"/>
    <n v="100"/>
    <n v="0.33"/>
    <x v="46"/>
  </r>
  <r>
    <x v="47"/>
    <n v="154"/>
    <n v="140"/>
    <n v="90.91"/>
    <n v="0.33"/>
    <x v="47"/>
  </r>
  <r>
    <x v="48"/>
    <n v="171"/>
    <n v="135"/>
    <n v="78.95"/>
    <n v="0.32"/>
    <x v="48"/>
  </r>
  <r>
    <x v="49"/>
    <n v="217"/>
    <n v="133"/>
    <n v="61.29"/>
    <n v="0.32"/>
    <x v="49"/>
  </r>
  <r>
    <x v="50"/>
    <n v="124"/>
    <n v="124"/>
    <n v="100"/>
    <n v="0.3"/>
    <x v="50"/>
  </r>
  <r>
    <x v="51"/>
    <n v="201"/>
    <n v="126"/>
    <n v="62.69"/>
    <n v="0.3"/>
    <x v="51"/>
  </r>
  <r>
    <x v="52"/>
    <n v="132"/>
    <n v="121"/>
    <n v="91.67"/>
    <n v="0.28999999999999998"/>
    <x v="52"/>
  </r>
  <r>
    <x v="53"/>
    <n v="143"/>
    <n v="120"/>
    <n v="83.92"/>
    <n v="0.28999999999999998"/>
    <x v="53"/>
  </r>
  <r>
    <x v="54"/>
    <n v="592"/>
    <n v="121"/>
    <n v="20.440000000000001"/>
    <n v="0.28999999999999998"/>
    <x v="54"/>
  </r>
  <r>
    <x v="55"/>
    <n v="122"/>
    <n v="119"/>
    <n v="97.54"/>
    <n v="0.28000000000000003"/>
    <x v="55"/>
  </r>
  <r>
    <x v="56"/>
    <n v="138"/>
    <n v="115"/>
    <n v="83.33"/>
    <n v="0.27"/>
    <x v="56"/>
  </r>
  <r>
    <x v="57"/>
    <n v="149"/>
    <n v="114"/>
    <n v="76.510000000000005"/>
    <n v="0.27"/>
    <x v="57"/>
  </r>
  <r>
    <x v="58"/>
    <n v="114"/>
    <n v="109"/>
    <n v="95.61"/>
    <n v="0.26"/>
    <x v="58"/>
  </r>
  <r>
    <x v="59"/>
    <n v="189"/>
    <n v="110"/>
    <n v="58.2"/>
    <n v="0.26"/>
    <x v="59"/>
  </r>
  <r>
    <x v="60"/>
    <n v="269"/>
    <n v="108"/>
    <n v="40.15"/>
    <n v="0.26"/>
    <x v="60"/>
  </r>
  <r>
    <x v="61"/>
    <n v="118"/>
    <n v="103"/>
    <n v="87.29"/>
    <n v="0.25"/>
    <x v="61"/>
  </r>
  <r>
    <x v="62"/>
    <n v="101"/>
    <n v="101"/>
    <n v="100"/>
    <n v="0.24"/>
    <x v="62"/>
  </r>
  <r>
    <x v="63"/>
    <n v="114"/>
    <n v="102"/>
    <n v="89.47"/>
    <n v="0.24"/>
    <x v="63"/>
  </r>
  <r>
    <x v="64"/>
    <n v="135"/>
    <n v="101"/>
    <n v="74.81"/>
    <n v="0.24"/>
    <x v="64"/>
  </r>
  <r>
    <x v="65"/>
    <n v="290"/>
    <n v="100"/>
    <n v="34.479999999999997"/>
    <n v="0.24"/>
    <x v="65"/>
  </r>
  <r>
    <x v="66"/>
    <n v="100"/>
    <n v="96"/>
    <n v="96"/>
    <n v="0.23"/>
    <x v="66"/>
  </r>
  <r>
    <x v="67"/>
    <n v="108"/>
    <n v="95"/>
    <n v="87.96"/>
    <n v="0.23"/>
    <x v="67"/>
  </r>
  <r>
    <x v="68"/>
    <n v="126"/>
    <n v="97"/>
    <n v="76.98"/>
    <n v="0.23"/>
    <x v="68"/>
  </r>
  <r>
    <x v="69"/>
    <n v="106"/>
    <n v="91"/>
    <n v="85.85"/>
    <n v="0.22"/>
    <x v="69"/>
  </r>
  <r>
    <x v="70"/>
    <n v="151"/>
    <n v="93"/>
    <n v="61.59"/>
    <n v="0.22"/>
    <x v="70"/>
  </r>
  <r>
    <x v="71"/>
    <n v="1015"/>
    <n v="93"/>
    <n v="9.16"/>
    <n v="0.22"/>
    <x v="71"/>
  </r>
  <r>
    <x v="72"/>
    <n v="106"/>
    <n v="85"/>
    <n v="80.19"/>
    <n v="0.2"/>
    <x v="72"/>
  </r>
  <r>
    <x v="73"/>
    <n v="120"/>
    <n v="80"/>
    <n v="66.67"/>
    <n v="0.19"/>
    <x v="73"/>
  </r>
  <r>
    <x v="74"/>
    <n v="143"/>
    <n v="81"/>
    <n v="56.64"/>
    <n v="0.19"/>
    <x v="74"/>
  </r>
  <r>
    <x v="75"/>
    <n v="107"/>
    <n v="74"/>
    <n v="69.16"/>
    <n v="0.18"/>
    <x v="75"/>
  </r>
  <r>
    <x v="76"/>
    <n v="111"/>
    <n v="76"/>
    <n v="68.47"/>
    <n v="0.18"/>
    <x v="76"/>
  </r>
  <r>
    <x v="77"/>
    <n v="162"/>
    <n v="74"/>
    <n v="45.68"/>
    <n v="0.18"/>
    <x v="77"/>
  </r>
  <r>
    <x v="78"/>
    <n v="525"/>
    <n v="73"/>
    <n v="13.9"/>
    <n v="0.17"/>
    <x v="78"/>
  </r>
  <r>
    <x v="79"/>
    <n v="929"/>
    <n v="72"/>
    <n v="7.75"/>
    <n v="0.17"/>
    <x v="79"/>
  </r>
  <r>
    <x v="80"/>
    <n v="335"/>
    <n v="62"/>
    <n v="18.510000000000002"/>
    <n v="0.15"/>
    <x v="80"/>
  </r>
  <r>
    <x v="81"/>
    <n v="1837"/>
    <n v="61"/>
    <n v="3.32"/>
    <n v="0.15"/>
    <x v="81"/>
  </r>
  <r>
    <x v="82"/>
    <n v="139"/>
    <n v="60"/>
    <n v="43.17"/>
    <n v="0.14000000000000001"/>
    <x v="82"/>
  </r>
  <r>
    <x v="83"/>
    <n v="461"/>
    <n v="58"/>
    <n v="12.58"/>
    <n v="0.14000000000000001"/>
    <x v="83"/>
  </r>
  <r>
    <x v="84"/>
    <n v="1534"/>
    <n v="60"/>
    <n v="3.91"/>
    <n v="0.14000000000000001"/>
    <x v="84"/>
  </r>
  <r>
    <x v="85"/>
    <n v="488"/>
    <n v="55"/>
    <n v="11.27"/>
    <n v="0.13"/>
    <x v="85"/>
  </r>
  <r>
    <x v="86"/>
    <n v="204"/>
    <n v="51"/>
    <n v="25"/>
    <n v="0.12"/>
    <x v="86"/>
  </r>
  <r>
    <x v="87"/>
    <n v="286"/>
    <n v="50"/>
    <n v="17.48"/>
    <n v="0.12"/>
    <x v="87"/>
  </r>
  <r>
    <x v="88"/>
    <n v="769"/>
    <n v="50"/>
    <n v="6.5"/>
    <n v="0.12"/>
    <x v="88"/>
  </r>
  <r>
    <x v="89"/>
    <n v="220"/>
    <n v="43"/>
    <n v="19.55"/>
    <n v="0.1"/>
    <x v="89"/>
  </r>
  <r>
    <x v="90"/>
    <n v="1121"/>
    <n v="36"/>
    <n v="3.21"/>
    <n v="0.09"/>
    <x v="90"/>
  </r>
  <r>
    <x v="91"/>
    <n v="502"/>
    <n v="25"/>
    <n v="4.9800000000000004"/>
    <n v="0.06"/>
    <x v="91"/>
  </r>
  <r>
    <x v="92"/>
    <n v="107"/>
    <n v="22"/>
    <n v="20.56"/>
    <n v="0.05"/>
    <x v="92"/>
  </r>
  <r>
    <x v="93"/>
    <n v="290"/>
    <n v="20"/>
    <n v="6.9"/>
    <n v="0.05"/>
    <x v="93"/>
  </r>
  <r>
    <x v="94"/>
    <n v="522"/>
    <n v="21"/>
    <n v="4.0199999999999996"/>
    <n v="0.05"/>
    <x v="94"/>
  </r>
  <r>
    <x v="95"/>
    <n v="156"/>
    <n v="18"/>
    <n v="11.54"/>
    <n v="0.04"/>
    <x v="95"/>
  </r>
  <r>
    <x v="96"/>
    <n v="139"/>
    <n v="15"/>
    <n v="10.79"/>
    <n v="0.04"/>
    <x v="96"/>
  </r>
  <r>
    <x v="97"/>
    <n v="307"/>
    <n v="15"/>
    <n v="4.8899999999999997"/>
    <n v="0.04"/>
    <x v="97"/>
  </r>
  <r>
    <x v="98"/>
    <n v="983"/>
    <n v="18"/>
    <n v="1.83"/>
    <n v="0.04"/>
    <x v="98"/>
  </r>
  <r>
    <x v="99"/>
    <n v="1142"/>
    <n v="16"/>
    <n v="1.4"/>
    <n v="0.04"/>
    <x v="99"/>
  </r>
  <r>
    <x v="100"/>
    <n v="1758"/>
    <n v="18"/>
    <n v="1.02"/>
    <n v="0.04"/>
    <x v="100"/>
  </r>
  <r>
    <x v="101"/>
    <n v="109"/>
    <n v="13"/>
    <n v="11.93"/>
    <n v="0.03"/>
    <x v="101"/>
  </r>
  <r>
    <x v="102"/>
    <n v="167"/>
    <n v="11"/>
    <n v="6.59"/>
    <n v="0.03"/>
    <x v="102"/>
  </r>
  <r>
    <x v="103"/>
    <n v="286"/>
    <n v="14"/>
    <n v="4.9000000000000004"/>
    <n v="0.03"/>
    <x v="103"/>
  </r>
  <r>
    <x v="104"/>
    <n v="245"/>
    <n v="11"/>
    <n v="4.49"/>
    <n v="0.03"/>
    <x v="104"/>
  </r>
  <r>
    <x v="105"/>
    <n v="260"/>
    <n v="11"/>
    <n v="4.2300000000000004"/>
    <n v="0.03"/>
    <x v="105"/>
  </r>
  <r>
    <x v="106"/>
    <n v="377"/>
    <n v="13"/>
    <n v="3.45"/>
    <n v="0.03"/>
    <x v="106"/>
  </r>
  <r>
    <x v="107"/>
    <n v="130"/>
    <n v="7"/>
    <n v="5.38"/>
    <n v="0.02"/>
    <x v="107"/>
  </r>
  <r>
    <x v="108"/>
    <n v="169"/>
    <n v="8"/>
    <n v="4.7300000000000004"/>
    <n v="0.02"/>
    <x v="108"/>
  </r>
  <r>
    <x v="109"/>
    <n v="110"/>
    <n v="6"/>
    <n v="5.45"/>
    <n v="0.01"/>
    <x v="109"/>
  </r>
  <r>
    <x v="110"/>
    <n v="133"/>
    <n v="6"/>
    <n v="4.51"/>
    <n v="0.01"/>
    <x v="110"/>
  </r>
  <r>
    <x v="111"/>
    <n v="123"/>
    <n v="5"/>
    <n v="4.07"/>
    <n v="0.01"/>
    <x v="111"/>
  </r>
  <r>
    <x v="112"/>
    <n v="210"/>
    <n v="4"/>
    <n v="1.9"/>
    <n v="0.01"/>
    <x v="112"/>
  </r>
  <r>
    <x v="113"/>
    <n v="1015"/>
    <n v="3"/>
    <n v="0.3"/>
    <n v="0.01"/>
    <x v="113"/>
  </r>
  <r>
    <x v="114"/>
    <n v="193"/>
    <n v="1"/>
    <n v="0.52"/>
    <n v="0"/>
    <x v="114"/>
  </r>
  <r>
    <x v="115"/>
    <n v="422"/>
    <n v="2"/>
    <n v="0.47"/>
    <n v="0"/>
    <x v="115"/>
  </r>
  <r>
    <x v="116"/>
    <n v="719"/>
    <n v="2"/>
    <n v="0.28000000000000003"/>
    <n v="0"/>
    <x v="116"/>
  </r>
  <r>
    <x v="117"/>
    <n v="426"/>
    <n v="1"/>
    <n v="0.23"/>
    <n v="0"/>
    <x v="117"/>
  </r>
  <r>
    <x v="118"/>
    <n v="533"/>
    <n v="1"/>
    <n v="0.19"/>
    <n v="0"/>
    <x v="118"/>
  </r>
  <r>
    <x v="119"/>
    <n v="1073"/>
    <n v="1"/>
    <n v="0.09"/>
    <n v="0"/>
    <x v="119"/>
  </r>
  <r>
    <x v="120"/>
    <n v="143"/>
    <n v="0"/>
    <n v="0"/>
    <n v="0"/>
    <x v="120"/>
  </r>
  <r>
    <x v="121"/>
    <n v="172"/>
    <n v="0"/>
    <n v="0"/>
    <n v="0"/>
    <x v="120"/>
  </r>
  <r>
    <x v="122"/>
    <n v="101"/>
    <n v="0"/>
    <n v="0"/>
    <n v="0"/>
    <x v="120"/>
  </r>
  <r>
    <x v="123"/>
    <n v="161"/>
    <n v="0"/>
    <n v="0"/>
    <n v="0"/>
    <x v="120"/>
  </r>
  <r>
    <x v="124"/>
    <n v="542"/>
    <n v="0"/>
    <n v="0"/>
    <n v="0"/>
    <x v="120"/>
  </r>
  <r>
    <x v="125"/>
    <n v="181"/>
    <n v="0"/>
    <n v="0"/>
    <n v="0"/>
    <x v="120"/>
  </r>
  <r>
    <x v="126"/>
    <n v="148"/>
    <n v="0"/>
    <n v="0"/>
    <n v="0"/>
    <x v="120"/>
  </r>
  <r>
    <x v="127"/>
    <n v="150"/>
    <n v="0"/>
    <n v="0"/>
    <n v="0"/>
    <x v="120"/>
  </r>
  <r>
    <x v="128"/>
    <n v="339"/>
    <n v="0"/>
    <n v="0"/>
    <n v="0"/>
    <x v="120"/>
  </r>
  <r>
    <x v="129"/>
    <n v="274"/>
    <n v="0"/>
    <n v="0"/>
    <n v="0"/>
    <x v="120"/>
  </r>
  <r>
    <x v="130"/>
    <n v="211"/>
    <n v="0"/>
    <n v="0"/>
    <n v="0"/>
    <x v="120"/>
  </r>
  <r>
    <x v="131"/>
    <n v="174"/>
    <n v="0"/>
    <n v="0"/>
    <n v="0"/>
    <x v="120"/>
  </r>
  <r>
    <x v="132"/>
    <n v="149"/>
    <n v="0"/>
    <n v="0"/>
    <n v="0"/>
    <x v="120"/>
  </r>
  <r>
    <x v="133"/>
    <n v="114"/>
    <n v="0"/>
    <n v="0"/>
    <n v="0"/>
    <x v="1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1.86"/>
  </r>
  <r>
    <x v="0"/>
    <x v="1"/>
    <n v="21.82"/>
  </r>
  <r>
    <x v="0"/>
    <x v="2"/>
    <n v="59.42"/>
  </r>
  <r>
    <x v="1"/>
    <x v="0"/>
    <n v="10.77"/>
  </r>
  <r>
    <x v="1"/>
    <x v="1"/>
    <n v="29.55"/>
  </r>
  <r>
    <x v="1"/>
    <x v="2"/>
    <n v="53.66"/>
  </r>
  <r>
    <x v="2"/>
    <x v="0"/>
    <n v="12.66"/>
  </r>
  <r>
    <x v="2"/>
    <x v="1"/>
    <n v="13.98"/>
  </r>
  <r>
    <x v="2"/>
    <x v="2"/>
    <n v="66.0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0"/>
    <n v="34"/>
  </r>
  <r>
    <x v="0"/>
    <x v="1"/>
    <n v="14"/>
    <n v="45"/>
  </r>
  <r>
    <x v="0"/>
    <x v="2"/>
    <n v="36"/>
    <n v="90"/>
  </r>
  <r>
    <x v="1"/>
    <x v="0"/>
    <n v="5"/>
    <n v="16"/>
  </r>
  <r>
    <x v="1"/>
    <x v="1"/>
    <n v="14"/>
    <n v="36"/>
  </r>
  <r>
    <x v="1"/>
    <x v="2"/>
    <n v="24"/>
    <n v="47"/>
  </r>
  <r>
    <x v="2"/>
    <x v="0"/>
    <n v="14"/>
    <n v="39"/>
  </r>
  <r>
    <x v="2"/>
    <x v="1"/>
    <n v="14"/>
    <n v="56"/>
  </r>
  <r>
    <x v="2"/>
    <x v="2"/>
    <n v="65"/>
    <n v="10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x v="0"/>
    <x v="0"/>
    <n v="59"/>
    <n v="100"/>
    <n v="98.333333333333329"/>
  </r>
  <r>
    <x v="0"/>
    <x v="1"/>
    <x v="0"/>
    <x v="0"/>
    <n v="183"/>
    <n v="100"/>
    <n v="83.944954128440372"/>
  </r>
  <r>
    <x v="0"/>
    <x v="2"/>
    <x v="0"/>
    <x v="0"/>
    <n v="90"/>
    <n v="100"/>
    <n v="86.538461538461533"/>
  </r>
  <r>
    <x v="1"/>
    <x v="3"/>
    <x v="0"/>
    <x v="0"/>
    <n v="245"/>
    <n v="100"/>
    <n v="98"/>
  </r>
  <r>
    <x v="1"/>
    <x v="4"/>
    <x v="0"/>
    <x v="0"/>
    <n v="4107"/>
    <n v="100"/>
    <n v="96.205200281096282"/>
  </r>
  <r>
    <x v="1"/>
    <x v="5"/>
    <x v="0"/>
    <x v="0"/>
    <n v="4885"/>
    <n v="100"/>
    <n v="95.261310452418101"/>
  </r>
  <r>
    <x v="1"/>
    <x v="6"/>
    <x v="0"/>
    <x v="0"/>
    <n v="4132"/>
    <n v="100"/>
    <n v="93.951796271032293"/>
  </r>
  <r>
    <x v="1"/>
    <x v="7"/>
    <x v="0"/>
    <x v="0"/>
    <n v="4284"/>
    <n v="100"/>
    <n v="82.179167465950513"/>
  </r>
  <r>
    <x v="1"/>
    <x v="8"/>
    <x v="0"/>
    <x v="0"/>
    <n v="3343"/>
    <n v="100"/>
    <n v="73.780622379165749"/>
  </r>
  <r>
    <x v="1"/>
    <x v="9"/>
    <x v="0"/>
    <x v="0"/>
    <n v="3273"/>
    <n v="100"/>
    <n v="68.102372034956304"/>
  </r>
  <r>
    <x v="1"/>
    <x v="10"/>
    <x v="0"/>
    <x v="0"/>
    <n v="3609"/>
    <n v="100"/>
    <n v="68.339329672410528"/>
  </r>
  <r>
    <x v="1"/>
    <x v="11"/>
    <x v="0"/>
    <x v="0"/>
    <n v="5"/>
    <n v="0.19"/>
    <n v="0.11454753722794959"/>
  </r>
  <r>
    <x v="1"/>
    <x v="11"/>
    <x v="0"/>
    <x v="1"/>
    <n v="2659"/>
    <n v="99.81"/>
    <n v="60.916380297823594"/>
  </r>
  <r>
    <x v="1"/>
    <x v="12"/>
    <x v="0"/>
    <x v="1"/>
    <n v="2494"/>
    <n v="100"/>
    <n v="52.307046979865774"/>
  </r>
  <r>
    <x v="1"/>
    <x v="13"/>
    <x v="0"/>
    <x v="1"/>
    <n v="333"/>
    <n v="32.68"/>
    <n v="15.978886756238003"/>
  </r>
  <r>
    <x v="1"/>
    <x v="13"/>
    <x v="0"/>
    <x v="2"/>
    <n v="686"/>
    <n v="67.319999999999993"/>
    <n v="32.91746641074856"/>
  </r>
  <r>
    <x v="0"/>
    <x v="0"/>
    <x v="1"/>
    <x v="0"/>
    <n v="1"/>
    <n v="100"/>
    <n v="1.6666666666666667"/>
  </r>
  <r>
    <x v="0"/>
    <x v="1"/>
    <x v="1"/>
    <x v="0"/>
    <n v="35"/>
    <n v="100"/>
    <n v="16.055045871559631"/>
  </r>
  <r>
    <x v="0"/>
    <x v="2"/>
    <x v="1"/>
    <x v="0"/>
    <n v="14"/>
    <n v="100"/>
    <n v="13.461538461538462"/>
  </r>
  <r>
    <x v="1"/>
    <x v="3"/>
    <x v="1"/>
    <x v="0"/>
    <n v="5"/>
    <n v="100"/>
    <n v="2"/>
  </r>
  <r>
    <x v="1"/>
    <x v="4"/>
    <x v="1"/>
    <x v="0"/>
    <n v="162"/>
    <n v="100"/>
    <n v="3.7947997189037244"/>
  </r>
  <r>
    <x v="1"/>
    <x v="5"/>
    <x v="1"/>
    <x v="0"/>
    <n v="243"/>
    <n v="100"/>
    <n v="4.7386895475819033"/>
  </r>
  <r>
    <x v="1"/>
    <x v="6"/>
    <x v="1"/>
    <x v="0"/>
    <n v="266"/>
    <n v="100"/>
    <n v="6.0482037289677129"/>
  </r>
  <r>
    <x v="1"/>
    <x v="7"/>
    <x v="1"/>
    <x v="0"/>
    <n v="929"/>
    <n v="100"/>
    <n v="17.82083253404949"/>
  </r>
  <r>
    <x v="1"/>
    <x v="8"/>
    <x v="1"/>
    <x v="0"/>
    <n v="1188"/>
    <n v="100"/>
    <n v="26.219377620834251"/>
  </r>
  <r>
    <x v="1"/>
    <x v="9"/>
    <x v="1"/>
    <x v="0"/>
    <n v="1533"/>
    <n v="100"/>
    <n v="31.897627965043696"/>
  </r>
  <r>
    <x v="1"/>
    <x v="10"/>
    <x v="1"/>
    <x v="0"/>
    <n v="1672"/>
    <n v="100"/>
    <n v="31.660670327589472"/>
  </r>
  <r>
    <x v="1"/>
    <x v="11"/>
    <x v="1"/>
    <x v="0"/>
    <n v="1692"/>
    <n v="99.47"/>
    <n v="38.762886597938142"/>
  </r>
  <r>
    <x v="1"/>
    <x v="11"/>
    <x v="1"/>
    <x v="1"/>
    <n v="9"/>
    <n v="0.53"/>
    <n v="0.20618556701030927"/>
  </r>
  <r>
    <x v="1"/>
    <x v="12"/>
    <x v="1"/>
    <x v="0"/>
    <n v="1829"/>
    <n v="80.430000000000007"/>
    <n v="38.359899328859058"/>
  </r>
  <r>
    <x v="1"/>
    <x v="12"/>
    <x v="1"/>
    <x v="1"/>
    <n v="445"/>
    <n v="19.57"/>
    <n v="9.3330536912751683"/>
  </r>
  <r>
    <x v="1"/>
    <x v="13"/>
    <x v="1"/>
    <x v="0"/>
    <n v="617"/>
    <n v="57.93"/>
    <n v="29.606525911708253"/>
  </r>
  <r>
    <x v="1"/>
    <x v="13"/>
    <x v="1"/>
    <x v="1"/>
    <n v="435"/>
    <n v="40.85"/>
    <n v="20.873320537428022"/>
  </r>
  <r>
    <x v="1"/>
    <x v="13"/>
    <x v="1"/>
    <x v="2"/>
    <n v="13"/>
    <n v="1.22"/>
    <n v="0.623800383877159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Lead Time"/>
    <x v="0"/>
    <s v="Acceptable"/>
    <n v="43900"/>
    <n v="51.14"/>
    <x v="0"/>
  </r>
  <r>
    <s v="Lead Time"/>
    <x v="1"/>
    <s v="Watchlist"/>
    <n v="13021"/>
    <n v="15.17"/>
    <x v="0"/>
  </r>
  <r>
    <s v="Lead Time"/>
    <x v="2"/>
    <s v="At Risk"/>
    <n v="20304"/>
    <n v="23.65"/>
    <x v="0"/>
  </r>
  <r>
    <s v="Lead Time"/>
    <x v="3"/>
    <s v="Aged"/>
    <n v="7377"/>
    <n v="8.59"/>
    <x v="0"/>
  </r>
  <r>
    <s v="Lead Time"/>
    <x v="4"/>
    <s v="Critical"/>
    <n v="1243"/>
    <n v="1.45"/>
    <x v="0"/>
  </r>
  <r>
    <s v="Age days"/>
    <x v="0"/>
    <s v="Acceptable"/>
    <n v="28309"/>
    <n v="52.71"/>
    <x v="1"/>
  </r>
  <r>
    <s v="Age days"/>
    <x v="1"/>
    <s v="Watchlist"/>
    <n v="5486"/>
    <n v="10.220000000000001"/>
    <x v="1"/>
  </r>
  <r>
    <s v="Age days"/>
    <x v="2"/>
    <s v="At Risk"/>
    <n v="8374"/>
    <n v="15.59"/>
    <x v="1"/>
  </r>
  <r>
    <s v="Age days"/>
    <x v="3"/>
    <s v="Aged"/>
    <n v="4111"/>
    <n v="7.65"/>
    <x v="1"/>
  </r>
  <r>
    <s v="Age days"/>
    <x v="4"/>
    <s v="Critical"/>
    <n v="7424"/>
    <n v="13.82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  <n v="332"/>
    <x v="0"/>
    <n v="86.910994764397913"/>
  </r>
  <r>
    <x v="1"/>
    <x v="0"/>
    <x v="0"/>
    <n v="13503"/>
    <x v="0"/>
    <n v="95.232385922843648"/>
  </r>
  <r>
    <x v="2"/>
    <x v="0"/>
    <x v="0"/>
    <n v="14474"/>
    <x v="1"/>
    <n v="68.212451105141625"/>
  </r>
  <r>
    <x v="2"/>
    <x v="0"/>
    <x v="1"/>
    <n v="873"/>
    <x v="2"/>
    <n v="4.1142372402092464"/>
  </r>
  <r>
    <x v="3"/>
    <x v="0"/>
    <x v="1"/>
    <n v="4613"/>
    <x v="3"/>
    <n v="20.921583745294573"/>
  </r>
  <r>
    <x v="3"/>
    <x v="0"/>
    <x v="2"/>
    <n v="6008"/>
    <x v="4"/>
    <n v="27.248401288040274"/>
  </r>
  <r>
    <x v="4"/>
    <x v="0"/>
    <x v="2"/>
    <n v="5049"/>
    <x v="0"/>
    <n v="28.179940838309985"/>
  </r>
  <r>
    <x v="5"/>
    <x v="0"/>
    <x v="2"/>
    <n v="3280"/>
    <x v="0"/>
    <n v="16.215948979087358"/>
  </r>
  <r>
    <x v="6"/>
    <x v="0"/>
    <x v="2"/>
    <n v="2939"/>
    <x v="0"/>
    <n v="13.910450586898902"/>
  </r>
  <r>
    <x v="7"/>
    <x v="0"/>
    <x v="2"/>
    <n v="2633"/>
    <x v="0"/>
    <n v="11.729330007127583"/>
  </r>
  <r>
    <x v="8"/>
    <x v="0"/>
    <x v="2"/>
    <n v="2928"/>
    <x v="0"/>
    <n v="12.717717065543152"/>
  </r>
  <r>
    <x v="9"/>
    <x v="0"/>
    <x v="2"/>
    <n v="2772"/>
    <x v="0"/>
    <n v="12.381079994640226"/>
  </r>
  <r>
    <x v="10"/>
    <x v="0"/>
    <x v="2"/>
    <n v="3262"/>
    <x v="0"/>
    <n v="13.202736066701744"/>
  </r>
  <r>
    <x v="11"/>
    <x v="0"/>
    <x v="2"/>
    <n v="2498"/>
    <x v="0"/>
    <n v="12.000960845544078"/>
  </r>
  <r>
    <x v="12"/>
    <x v="0"/>
    <x v="2"/>
    <n v="2893"/>
    <x v="0"/>
    <n v="13.613477012846454"/>
  </r>
  <r>
    <x v="0"/>
    <x v="1"/>
    <x v="0"/>
    <n v="50"/>
    <x v="0"/>
    <n v="13.089005235602095"/>
  </r>
  <r>
    <x v="1"/>
    <x v="1"/>
    <x v="0"/>
    <n v="676"/>
    <x v="0"/>
    <n v="4.7676140771563578"/>
  </r>
  <r>
    <x v="2"/>
    <x v="1"/>
    <x v="0"/>
    <n v="5867"/>
    <x v="5"/>
    <n v="27.649747867477259"/>
  </r>
  <r>
    <x v="2"/>
    <x v="1"/>
    <x v="1"/>
    <n v="5"/>
    <x v="6"/>
    <n v="2.3563787171874264E-2"/>
  </r>
  <r>
    <x v="3"/>
    <x v="1"/>
    <x v="0"/>
    <n v="7285"/>
    <x v="7"/>
    <n v="33.040047167672"/>
  </r>
  <r>
    <x v="3"/>
    <x v="1"/>
    <x v="1"/>
    <n v="2657"/>
    <x v="8"/>
    <n v="12.050433126218875"/>
  </r>
  <r>
    <x v="3"/>
    <x v="1"/>
    <x v="2"/>
    <n v="1486"/>
    <x v="9"/>
    <n v="6.7395346727742753"/>
  </r>
  <r>
    <x v="4"/>
    <x v="1"/>
    <x v="0"/>
    <n v="6361"/>
    <x v="10"/>
    <n v="35.502595300552549"/>
  </r>
  <r>
    <x v="4"/>
    <x v="1"/>
    <x v="1"/>
    <n v="2322"/>
    <x v="11"/>
    <n v="12.95975888820673"/>
  </r>
  <r>
    <x v="4"/>
    <x v="1"/>
    <x v="2"/>
    <n v="4185"/>
    <x v="12"/>
    <n v="23.357704972930737"/>
  </r>
  <r>
    <x v="5"/>
    <x v="1"/>
    <x v="0"/>
    <n v="7953"/>
    <x v="13"/>
    <n v="39.318732387402974"/>
  </r>
  <r>
    <x v="5"/>
    <x v="1"/>
    <x v="1"/>
    <n v="1934"/>
    <x v="14"/>
    <n v="9.5614772334009004"/>
  </r>
  <r>
    <x v="5"/>
    <x v="1"/>
    <x v="2"/>
    <n v="7060"/>
    <x v="15"/>
    <n v="34.903841400108767"/>
  </r>
  <r>
    <x v="6"/>
    <x v="1"/>
    <x v="0"/>
    <n v="7578"/>
    <x v="15"/>
    <n v="35.867095797046574"/>
  </r>
  <r>
    <x v="6"/>
    <x v="1"/>
    <x v="1"/>
    <n v="3099"/>
    <x v="16"/>
    <n v="14.667739492616434"/>
  </r>
  <r>
    <x v="6"/>
    <x v="1"/>
    <x v="2"/>
    <n v="7512"/>
    <x v="17"/>
    <n v="35.554714123438089"/>
  </r>
  <r>
    <x v="7"/>
    <x v="1"/>
    <x v="0"/>
    <n v="8130"/>
    <x v="18"/>
    <n v="36.21703492516037"/>
  </r>
  <r>
    <x v="7"/>
    <x v="1"/>
    <x v="1"/>
    <n v="3004"/>
    <x v="19"/>
    <n v="13.382038488952245"/>
  </r>
  <r>
    <x v="7"/>
    <x v="1"/>
    <x v="2"/>
    <n v="8681"/>
    <x v="20"/>
    <n v="38.671596578759804"/>
  </r>
  <r>
    <x v="8"/>
    <x v="1"/>
    <x v="0"/>
    <n v="9072"/>
    <x v="21"/>
    <n v="39.404074186682884"/>
  </r>
  <r>
    <x v="8"/>
    <x v="1"/>
    <x v="1"/>
    <n v="2634"/>
    <x v="22"/>
    <n v="11.440733179863615"/>
  </r>
  <r>
    <x v="8"/>
    <x v="1"/>
    <x v="2"/>
    <n v="8389"/>
    <x v="23"/>
    <n v="36.437475567910347"/>
  </r>
  <r>
    <x v="9"/>
    <x v="1"/>
    <x v="0"/>
    <n v="8664"/>
    <x v="24"/>
    <n v="38.697574701862521"/>
  </r>
  <r>
    <x v="9"/>
    <x v="1"/>
    <x v="1"/>
    <n v="2625"/>
    <x v="25"/>
    <n v="11.724507570682031"/>
  </r>
  <r>
    <x v="9"/>
    <x v="1"/>
    <x v="2"/>
    <n v="8328"/>
    <x v="26"/>
    <n v="37.196837732815219"/>
  </r>
  <r>
    <x v="10"/>
    <x v="1"/>
    <x v="0"/>
    <n v="9584"/>
    <x v="27"/>
    <n v="38.790626138341359"/>
  </r>
  <r>
    <x v="10"/>
    <x v="1"/>
    <x v="1"/>
    <n v="2161"/>
    <x v="28"/>
    <n v="8.7465090864937061"/>
  </r>
  <r>
    <x v="10"/>
    <x v="1"/>
    <x v="2"/>
    <n v="9700"/>
    <x v="29"/>
    <n v="39.260128708463192"/>
  </r>
  <r>
    <x v="11"/>
    <x v="1"/>
    <x v="0"/>
    <n v="8392"/>
    <x v="30"/>
    <n v="40.317079029546001"/>
  </r>
  <r>
    <x v="11"/>
    <x v="1"/>
    <x v="1"/>
    <n v="2945"/>
    <x v="31"/>
    <n v="14.148450636560172"/>
  </r>
  <r>
    <x v="11"/>
    <x v="1"/>
    <x v="2"/>
    <n v="6980"/>
    <x v="32"/>
    <n v="33.53350948834975"/>
  </r>
  <r>
    <x v="12"/>
    <x v="1"/>
    <x v="0"/>
    <n v="8004"/>
    <x v="33"/>
    <n v="37.664109924238858"/>
  </r>
  <r>
    <x v="12"/>
    <x v="1"/>
    <x v="1"/>
    <n v="2724"/>
    <x v="34"/>
    <n v="12.81822031904381"/>
  </r>
  <r>
    <x v="12"/>
    <x v="1"/>
    <x v="2"/>
    <n v="7630"/>
    <x v="35"/>
    <n v="35.90419274387088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n v="15803"/>
    <n v="12270"/>
    <n v="77.64"/>
    <n v="29.25"/>
    <x v="0"/>
  </r>
  <r>
    <x v="1"/>
    <x v="0"/>
    <n v="6828"/>
    <n v="5033"/>
    <n v="73.709999999999994"/>
    <n v="12"/>
    <x v="1"/>
  </r>
  <r>
    <x v="2"/>
    <x v="1"/>
    <n v="25882"/>
    <n v="4685"/>
    <n v="18.100000000000001"/>
    <n v="11.17"/>
    <x v="2"/>
  </r>
  <r>
    <x v="3"/>
    <x v="0"/>
    <n v="5616"/>
    <n v="4077"/>
    <n v="72.599999999999994"/>
    <n v="9.7200000000000006"/>
    <x v="3"/>
  </r>
  <r>
    <x v="4"/>
    <x v="2"/>
    <n v="7255"/>
    <n v="2058"/>
    <n v="28.37"/>
    <n v="4.91"/>
    <x v="4"/>
  </r>
  <r>
    <x v="5"/>
    <x v="0"/>
    <n v="2479"/>
    <n v="2030"/>
    <n v="81.89"/>
    <n v="4.84"/>
    <x v="5"/>
  </r>
  <r>
    <x v="6"/>
    <x v="3"/>
    <n v="2395"/>
    <n v="1916"/>
    <n v="80"/>
    <n v="4.57"/>
    <x v="6"/>
  </r>
  <r>
    <x v="7"/>
    <x v="0"/>
    <n v="778"/>
    <n v="578"/>
    <n v="74.290000000000006"/>
    <n v="1.38"/>
    <x v="7"/>
  </r>
  <r>
    <x v="8"/>
    <x v="3"/>
    <n v="847"/>
    <n v="528"/>
    <n v="62.34"/>
    <n v="1.26"/>
    <x v="8"/>
  </r>
  <r>
    <x v="9"/>
    <x v="3"/>
    <n v="658"/>
    <n v="494"/>
    <n v="75.08"/>
    <n v="1.18"/>
    <x v="9"/>
  </r>
  <r>
    <x v="10"/>
    <x v="4"/>
    <n v="579"/>
    <n v="463"/>
    <n v="79.97"/>
    <n v="1.1000000000000001"/>
    <x v="10"/>
  </r>
  <r>
    <x v="11"/>
    <x v="5"/>
    <n v="668"/>
    <n v="420"/>
    <n v="62.87"/>
    <n v="1"/>
    <x v="11"/>
  </r>
  <r>
    <x v="12"/>
    <x v="6"/>
    <n v="413"/>
    <n v="331"/>
    <n v="80.150000000000006"/>
    <n v="0.79"/>
    <x v="12"/>
  </r>
  <r>
    <x v="13"/>
    <x v="0"/>
    <n v="480"/>
    <n v="324"/>
    <n v="67.5"/>
    <n v="0.77"/>
    <x v="13"/>
  </r>
  <r>
    <x v="14"/>
    <x v="3"/>
    <n v="356"/>
    <n v="305"/>
    <n v="85.67"/>
    <n v="0.73"/>
    <x v="14"/>
  </r>
  <r>
    <x v="15"/>
    <x v="7"/>
    <n v="357"/>
    <n v="295"/>
    <n v="82.63"/>
    <n v="0.7"/>
    <x v="15"/>
  </r>
  <r>
    <x v="16"/>
    <x v="4"/>
    <n v="353"/>
    <n v="282"/>
    <n v="79.89"/>
    <n v="0.67"/>
    <x v="16"/>
  </r>
  <r>
    <x v="17"/>
    <x v="3"/>
    <n v="311"/>
    <n v="278"/>
    <n v="89.39"/>
    <n v="0.66"/>
    <x v="17"/>
  </r>
  <r>
    <x v="18"/>
    <x v="1"/>
    <n v="1222"/>
    <n v="270"/>
    <n v="22.09"/>
    <n v="0.64"/>
    <x v="18"/>
  </r>
  <r>
    <x v="19"/>
    <x v="0"/>
    <n v="262"/>
    <n v="236"/>
    <n v="90.08"/>
    <n v="0.56000000000000005"/>
    <x v="19"/>
  </r>
  <r>
    <x v="20"/>
    <x v="3"/>
    <n v="320"/>
    <n v="230"/>
    <n v="71.88"/>
    <n v="0.55000000000000004"/>
    <x v="20"/>
  </r>
  <r>
    <x v="21"/>
    <x v="8"/>
    <n v="379"/>
    <n v="217"/>
    <n v="57.26"/>
    <n v="0.52"/>
    <x v="21"/>
  </r>
  <r>
    <x v="22"/>
    <x v="9"/>
    <n v="446"/>
    <n v="188"/>
    <n v="42.15"/>
    <n v="0.45"/>
    <x v="22"/>
  </r>
  <r>
    <x v="23"/>
    <x v="1"/>
    <n v="733"/>
    <n v="182"/>
    <n v="24.83"/>
    <n v="0.43"/>
    <x v="23"/>
  </r>
  <r>
    <x v="24"/>
    <x v="10"/>
    <n v="173"/>
    <n v="170"/>
    <n v="98.27"/>
    <n v="0.41"/>
    <x v="24"/>
  </r>
  <r>
    <x v="25"/>
    <x v="4"/>
    <n v="190"/>
    <n v="158"/>
    <n v="83.16"/>
    <n v="0.38"/>
    <x v="25"/>
  </r>
  <r>
    <x v="26"/>
    <x v="3"/>
    <n v="236"/>
    <n v="155"/>
    <n v="65.680000000000007"/>
    <n v="0.37"/>
    <x v="26"/>
  </r>
  <r>
    <x v="27"/>
    <x v="11"/>
    <n v="404"/>
    <n v="156"/>
    <n v="38.61"/>
    <n v="0.37"/>
    <x v="27"/>
  </r>
  <r>
    <x v="28"/>
    <x v="2"/>
    <n v="213"/>
    <n v="150"/>
    <n v="70.42"/>
    <n v="0.36"/>
    <x v="28"/>
  </r>
  <r>
    <x v="29"/>
    <x v="7"/>
    <n v="254"/>
    <n v="146"/>
    <n v="57.48"/>
    <n v="0.35"/>
    <x v="29"/>
  </r>
  <r>
    <x v="30"/>
    <x v="11"/>
    <n v="141"/>
    <n v="139"/>
    <n v="98.58"/>
    <n v="0.33"/>
    <x v="30"/>
  </r>
  <r>
    <x v="31"/>
    <x v="0"/>
    <n v="150"/>
    <n v="134"/>
    <n v="89.33"/>
    <n v="0.32"/>
    <x v="31"/>
  </r>
  <r>
    <x v="32"/>
    <x v="0"/>
    <n v="161"/>
    <n v="135"/>
    <n v="83.85"/>
    <n v="0.32"/>
    <x v="32"/>
  </r>
  <r>
    <x v="33"/>
    <x v="3"/>
    <n v="163"/>
    <n v="130"/>
    <n v="79.75"/>
    <n v="0.31"/>
    <x v="33"/>
  </r>
  <r>
    <x v="34"/>
    <x v="12"/>
    <n v="219"/>
    <n v="117"/>
    <n v="53.42"/>
    <n v="0.28000000000000003"/>
    <x v="34"/>
  </r>
  <r>
    <x v="35"/>
    <x v="7"/>
    <n v="130"/>
    <n v="101"/>
    <n v="77.69"/>
    <n v="0.24"/>
    <x v="35"/>
  </r>
  <r>
    <x v="36"/>
    <x v="0"/>
    <n v="151"/>
    <n v="101"/>
    <n v="66.89"/>
    <n v="0.24"/>
    <x v="36"/>
  </r>
  <r>
    <x v="37"/>
    <x v="1"/>
    <n v="210"/>
    <n v="102"/>
    <n v="48.57"/>
    <n v="0.24"/>
    <x v="37"/>
  </r>
  <r>
    <x v="38"/>
    <x v="13"/>
    <n v="275"/>
    <n v="101"/>
    <n v="36.729999999999997"/>
    <n v="0.24"/>
    <x v="38"/>
  </r>
  <r>
    <x v="39"/>
    <x v="3"/>
    <n v="134"/>
    <n v="94"/>
    <n v="70.150000000000006"/>
    <n v="0.22"/>
    <x v="39"/>
  </r>
  <r>
    <x v="40"/>
    <x v="0"/>
    <n v="285"/>
    <n v="91"/>
    <n v="31.93"/>
    <n v="0.22"/>
    <x v="40"/>
  </r>
  <r>
    <x v="41"/>
    <x v="11"/>
    <n v="168"/>
    <n v="78"/>
    <n v="46.43"/>
    <n v="0.19"/>
    <x v="41"/>
  </r>
  <r>
    <x v="42"/>
    <x v="12"/>
    <n v="125"/>
    <n v="74"/>
    <n v="59.2"/>
    <n v="0.18"/>
    <x v="42"/>
  </r>
  <r>
    <x v="43"/>
    <x v="8"/>
    <n v="130"/>
    <n v="71"/>
    <n v="54.62"/>
    <n v="0.17"/>
    <x v="43"/>
  </r>
  <r>
    <x v="44"/>
    <x v="0"/>
    <n v="102"/>
    <n v="69"/>
    <n v="67.650000000000006"/>
    <n v="0.16"/>
    <x v="44"/>
  </r>
  <r>
    <x v="45"/>
    <x v="0"/>
    <n v="101"/>
    <n v="56"/>
    <n v="55.45"/>
    <n v="0.13"/>
    <x v="45"/>
  </r>
  <r>
    <x v="46"/>
    <x v="13"/>
    <n v="1082"/>
    <n v="38"/>
    <n v="3.51"/>
    <n v="0.09"/>
    <x v="46"/>
  </r>
  <r>
    <x v="47"/>
    <x v="13"/>
    <n v="1349"/>
    <n v="38"/>
    <n v="2.82"/>
    <n v="0.09"/>
    <x v="47"/>
  </r>
  <r>
    <x v="48"/>
    <x v="5"/>
    <n v="116"/>
    <n v="32"/>
    <n v="27.59"/>
    <n v="0.08"/>
    <x v="48"/>
  </r>
  <r>
    <x v="49"/>
    <x v="1"/>
    <n v="304"/>
    <n v="26"/>
    <n v="8.5500000000000007"/>
    <n v="0.06"/>
    <x v="49"/>
  </r>
  <r>
    <x v="50"/>
    <x v="8"/>
    <n v="118"/>
    <n v="19"/>
    <n v="16.100000000000001"/>
    <n v="0.05"/>
    <x v="50"/>
  </r>
  <r>
    <x v="51"/>
    <x v="14"/>
    <n v="149"/>
    <n v="15"/>
    <n v="10.07"/>
    <n v="0.04"/>
    <x v="51"/>
  </r>
  <r>
    <x v="52"/>
    <x v="12"/>
    <n v="417"/>
    <n v="8"/>
    <n v="1.92"/>
    <n v="0.02"/>
    <x v="52"/>
  </r>
  <r>
    <x v="53"/>
    <x v="12"/>
    <n v="102"/>
    <n v="3"/>
    <n v="2.94"/>
    <n v="0.01"/>
    <x v="5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x v="0"/>
    <x v="0"/>
    <x v="0"/>
    <n v="15794"/>
    <n v="10"/>
    <n v="19"/>
  </r>
  <r>
    <x v="0"/>
    <x v="0"/>
    <x v="0"/>
    <x v="0"/>
    <x v="0"/>
    <x v="1"/>
    <n v="15794"/>
    <n v="13"/>
    <n v="20"/>
  </r>
  <r>
    <x v="1"/>
    <x v="0"/>
    <x v="0"/>
    <x v="0"/>
    <x v="0"/>
    <x v="0"/>
    <n v="15207"/>
    <n v="9"/>
    <n v="27"/>
  </r>
  <r>
    <x v="1"/>
    <x v="0"/>
    <x v="0"/>
    <x v="0"/>
    <x v="0"/>
    <x v="1"/>
    <n v="15207"/>
    <n v="7"/>
    <n v="46"/>
  </r>
  <r>
    <x v="2"/>
    <x v="0"/>
    <x v="0"/>
    <x v="0"/>
    <x v="0"/>
    <x v="0"/>
    <n v="15772"/>
    <n v="36"/>
    <n v="50"/>
  </r>
  <r>
    <x v="2"/>
    <x v="0"/>
    <x v="0"/>
    <x v="0"/>
    <x v="0"/>
    <x v="1"/>
    <n v="15772"/>
    <n v="91"/>
    <n v="113"/>
  </r>
  <r>
    <x v="0"/>
    <x v="1"/>
    <x v="1"/>
    <x v="0"/>
    <x v="1"/>
    <x v="0"/>
    <n v="6793"/>
    <n v="14"/>
    <n v="27"/>
  </r>
  <r>
    <x v="0"/>
    <x v="1"/>
    <x v="1"/>
    <x v="0"/>
    <x v="1"/>
    <x v="1"/>
    <n v="6793"/>
    <n v="17"/>
    <n v="42"/>
  </r>
  <r>
    <x v="1"/>
    <x v="1"/>
    <x v="1"/>
    <x v="0"/>
    <x v="1"/>
    <x v="0"/>
    <n v="6707"/>
    <n v="9"/>
    <n v="31"/>
  </r>
  <r>
    <x v="1"/>
    <x v="1"/>
    <x v="1"/>
    <x v="0"/>
    <x v="1"/>
    <x v="1"/>
    <n v="6707"/>
    <n v="10"/>
    <n v="45"/>
  </r>
  <r>
    <x v="2"/>
    <x v="1"/>
    <x v="1"/>
    <x v="0"/>
    <x v="1"/>
    <x v="0"/>
    <n v="6772"/>
    <n v="31"/>
    <n v="58"/>
  </r>
  <r>
    <x v="2"/>
    <x v="1"/>
    <x v="1"/>
    <x v="0"/>
    <x v="1"/>
    <x v="1"/>
    <n v="6772"/>
    <n v="64"/>
    <n v="86"/>
  </r>
  <r>
    <x v="0"/>
    <x v="2"/>
    <x v="2"/>
    <x v="1"/>
    <x v="2"/>
    <x v="0"/>
    <n v="25840"/>
    <n v="5"/>
    <n v="11"/>
  </r>
  <r>
    <x v="0"/>
    <x v="2"/>
    <x v="2"/>
    <x v="1"/>
    <x v="2"/>
    <x v="1"/>
    <n v="25840"/>
    <n v="7"/>
    <n v="29"/>
  </r>
  <r>
    <x v="1"/>
    <x v="2"/>
    <x v="2"/>
    <x v="1"/>
    <x v="2"/>
    <x v="0"/>
    <n v="24509"/>
    <n v="16"/>
    <n v="37"/>
  </r>
  <r>
    <x v="1"/>
    <x v="2"/>
    <x v="2"/>
    <x v="1"/>
    <x v="2"/>
    <x v="1"/>
    <n v="24509"/>
    <n v="38"/>
    <n v="78"/>
  </r>
  <r>
    <x v="2"/>
    <x v="2"/>
    <x v="2"/>
    <x v="1"/>
    <x v="2"/>
    <x v="0"/>
    <n v="25816"/>
    <n v="24"/>
    <n v="44"/>
  </r>
  <r>
    <x v="2"/>
    <x v="2"/>
    <x v="2"/>
    <x v="1"/>
    <x v="2"/>
    <x v="1"/>
    <n v="25816"/>
    <n v="37"/>
    <n v="73"/>
  </r>
  <r>
    <x v="0"/>
    <x v="3"/>
    <x v="3"/>
    <x v="0"/>
    <x v="3"/>
    <x v="0"/>
    <n v="5613"/>
    <n v="7"/>
    <n v="21"/>
  </r>
  <r>
    <x v="0"/>
    <x v="3"/>
    <x v="3"/>
    <x v="0"/>
    <x v="3"/>
    <x v="1"/>
    <n v="5613"/>
    <n v="12"/>
    <n v="40"/>
  </r>
  <r>
    <x v="1"/>
    <x v="3"/>
    <x v="3"/>
    <x v="0"/>
    <x v="3"/>
    <x v="0"/>
    <n v="5540"/>
    <n v="8"/>
    <n v="28"/>
  </r>
  <r>
    <x v="1"/>
    <x v="3"/>
    <x v="3"/>
    <x v="0"/>
    <x v="3"/>
    <x v="1"/>
    <n v="5540"/>
    <n v="6"/>
    <n v="31"/>
  </r>
  <r>
    <x v="2"/>
    <x v="3"/>
    <x v="3"/>
    <x v="0"/>
    <x v="3"/>
    <x v="0"/>
    <n v="5609"/>
    <n v="50"/>
    <n v="62"/>
  </r>
  <r>
    <x v="2"/>
    <x v="3"/>
    <x v="3"/>
    <x v="0"/>
    <x v="3"/>
    <x v="1"/>
    <n v="5609"/>
    <n v="71"/>
    <n v="84"/>
  </r>
  <r>
    <x v="0"/>
    <x v="4"/>
    <x v="4"/>
    <x v="2"/>
    <x v="4"/>
    <x v="0"/>
    <n v="7145"/>
    <n v="5"/>
    <n v="14"/>
  </r>
  <r>
    <x v="0"/>
    <x v="4"/>
    <x v="4"/>
    <x v="2"/>
    <x v="4"/>
    <x v="1"/>
    <n v="7145"/>
    <n v="29"/>
    <n v="76"/>
  </r>
  <r>
    <x v="1"/>
    <x v="4"/>
    <x v="4"/>
    <x v="2"/>
    <x v="4"/>
    <x v="0"/>
    <n v="6863"/>
    <n v="19"/>
    <n v="39"/>
  </r>
  <r>
    <x v="1"/>
    <x v="4"/>
    <x v="4"/>
    <x v="2"/>
    <x v="4"/>
    <x v="1"/>
    <n v="6863"/>
    <n v="31"/>
    <n v="77"/>
  </r>
  <r>
    <x v="2"/>
    <x v="4"/>
    <x v="4"/>
    <x v="2"/>
    <x v="4"/>
    <x v="0"/>
    <n v="7139"/>
    <n v="22"/>
    <n v="38"/>
  </r>
  <r>
    <x v="2"/>
    <x v="4"/>
    <x v="4"/>
    <x v="2"/>
    <x v="4"/>
    <x v="1"/>
    <n v="7139"/>
    <n v="43"/>
    <n v="89"/>
  </r>
  <r>
    <x v="0"/>
    <x v="5"/>
    <x v="5"/>
    <x v="0"/>
    <x v="5"/>
    <x v="0"/>
    <n v="2476"/>
    <n v="13"/>
    <n v="28"/>
  </r>
  <r>
    <x v="0"/>
    <x v="5"/>
    <x v="5"/>
    <x v="0"/>
    <x v="5"/>
    <x v="1"/>
    <n v="2476"/>
    <n v="16"/>
    <n v="48"/>
  </r>
  <r>
    <x v="1"/>
    <x v="5"/>
    <x v="5"/>
    <x v="0"/>
    <x v="5"/>
    <x v="0"/>
    <n v="2408"/>
    <n v="14"/>
    <n v="32"/>
  </r>
  <r>
    <x v="1"/>
    <x v="5"/>
    <x v="5"/>
    <x v="0"/>
    <x v="5"/>
    <x v="1"/>
    <n v="2408"/>
    <n v="6"/>
    <n v="39"/>
  </r>
  <r>
    <x v="2"/>
    <x v="5"/>
    <x v="5"/>
    <x v="0"/>
    <x v="5"/>
    <x v="0"/>
    <n v="2475"/>
    <n v="27"/>
    <n v="44"/>
  </r>
  <r>
    <x v="2"/>
    <x v="5"/>
    <x v="5"/>
    <x v="0"/>
    <x v="5"/>
    <x v="1"/>
    <n v="2475"/>
    <n v="80"/>
    <n v="114"/>
  </r>
  <r>
    <x v="0"/>
    <x v="6"/>
    <x v="6"/>
    <x v="3"/>
    <x v="6"/>
    <x v="0"/>
    <n v="2393"/>
    <n v="10"/>
    <n v="24"/>
  </r>
  <r>
    <x v="0"/>
    <x v="6"/>
    <x v="6"/>
    <x v="3"/>
    <x v="6"/>
    <x v="1"/>
    <n v="2393"/>
    <n v="14"/>
    <n v="32"/>
  </r>
  <r>
    <x v="1"/>
    <x v="6"/>
    <x v="6"/>
    <x v="3"/>
    <x v="6"/>
    <x v="0"/>
    <n v="2333"/>
    <n v="21"/>
    <n v="31"/>
  </r>
  <r>
    <x v="1"/>
    <x v="6"/>
    <x v="6"/>
    <x v="3"/>
    <x v="6"/>
    <x v="1"/>
    <n v="2333"/>
    <n v="25"/>
    <n v="47"/>
  </r>
  <r>
    <x v="2"/>
    <x v="6"/>
    <x v="6"/>
    <x v="3"/>
    <x v="6"/>
    <x v="0"/>
    <n v="2390"/>
    <n v="36"/>
    <n v="51"/>
  </r>
  <r>
    <x v="2"/>
    <x v="6"/>
    <x v="6"/>
    <x v="3"/>
    <x v="6"/>
    <x v="1"/>
    <n v="2390"/>
    <n v="49"/>
    <n v="77"/>
  </r>
  <r>
    <x v="0"/>
    <x v="7"/>
    <x v="7"/>
    <x v="0"/>
    <x v="0"/>
    <x v="0"/>
    <n v="778"/>
    <n v="13"/>
    <n v="15"/>
  </r>
  <r>
    <x v="0"/>
    <x v="7"/>
    <x v="7"/>
    <x v="0"/>
    <x v="0"/>
    <x v="1"/>
    <n v="778"/>
    <n v="13"/>
    <n v="26"/>
  </r>
  <r>
    <x v="1"/>
    <x v="7"/>
    <x v="7"/>
    <x v="0"/>
    <x v="0"/>
    <x v="0"/>
    <n v="778"/>
    <n v="22"/>
    <n v="36"/>
  </r>
  <r>
    <x v="1"/>
    <x v="7"/>
    <x v="7"/>
    <x v="0"/>
    <x v="0"/>
    <x v="1"/>
    <n v="778"/>
    <n v="36"/>
    <n v="70"/>
  </r>
  <r>
    <x v="2"/>
    <x v="7"/>
    <x v="7"/>
    <x v="0"/>
    <x v="0"/>
    <x v="0"/>
    <n v="777"/>
    <n v="23"/>
    <n v="36"/>
  </r>
  <r>
    <x v="2"/>
    <x v="7"/>
    <x v="7"/>
    <x v="0"/>
    <x v="0"/>
    <x v="1"/>
    <n v="777"/>
    <n v="45"/>
    <n v="87"/>
  </r>
  <r>
    <x v="0"/>
    <x v="8"/>
    <x v="8"/>
    <x v="3"/>
    <x v="7"/>
    <x v="0"/>
    <n v="846"/>
    <n v="12"/>
    <n v="25"/>
  </r>
  <r>
    <x v="0"/>
    <x v="8"/>
    <x v="8"/>
    <x v="3"/>
    <x v="7"/>
    <x v="1"/>
    <n v="846"/>
    <n v="21"/>
    <n v="49"/>
  </r>
  <r>
    <x v="1"/>
    <x v="8"/>
    <x v="8"/>
    <x v="3"/>
    <x v="7"/>
    <x v="0"/>
    <n v="766"/>
    <n v="12"/>
    <n v="30"/>
  </r>
  <r>
    <x v="1"/>
    <x v="8"/>
    <x v="8"/>
    <x v="3"/>
    <x v="7"/>
    <x v="1"/>
    <n v="766"/>
    <n v="17"/>
    <n v="43"/>
  </r>
  <r>
    <x v="2"/>
    <x v="8"/>
    <x v="8"/>
    <x v="3"/>
    <x v="7"/>
    <x v="0"/>
    <n v="846"/>
    <n v="24"/>
    <n v="45"/>
  </r>
  <r>
    <x v="2"/>
    <x v="8"/>
    <x v="8"/>
    <x v="3"/>
    <x v="7"/>
    <x v="1"/>
    <n v="846"/>
    <n v="59"/>
    <n v="78"/>
  </r>
  <r>
    <x v="0"/>
    <x v="9"/>
    <x v="9"/>
    <x v="3"/>
    <x v="8"/>
    <x v="0"/>
    <n v="658"/>
    <n v="15"/>
    <n v="25"/>
  </r>
  <r>
    <x v="0"/>
    <x v="9"/>
    <x v="9"/>
    <x v="3"/>
    <x v="8"/>
    <x v="1"/>
    <n v="658"/>
    <n v="21"/>
    <n v="42"/>
  </r>
  <r>
    <x v="1"/>
    <x v="9"/>
    <x v="9"/>
    <x v="3"/>
    <x v="8"/>
    <x v="0"/>
    <n v="598"/>
    <n v="20"/>
    <n v="32"/>
  </r>
  <r>
    <x v="1"/>
    <x v="9"/>
    <x v="9"/>
    <x v="3"/>
    <x v="8"/>
    <x v="1"/>
    <n v="598"/>
    <n v="21"/>
    <n v="42"/>
  </r>
  <r>
    <x v="2"/>
    <x v="9"/>
    <x v="9"/>
    <x v="3"/>
    <x v="8"/>
    <x v="0"/>
    <n v="657"/>
    <n v="30"/>
    <n v="49"/>
  </r>
  <r>
    <x v="2"/>
    <x v="9"/>
    <x v="9"/>
    <x v="3"/>
    <x v="8"/>
    <x v="1"/>
    <n v="657"/>
    <n v="51"/>
    <n v="7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s v="Packaging"/>
    <s v="Labels"/>
    <n v="11706"/>
    <n v="10.64"/>
  </r>
  <r>
    <x v="1"/>
    <x v="0"/>
    <x v="0"/>
    <s v="Packaging"/>
    <s v="Labels"/>
    <n v="11706"/>
    <n v="6.45"/>
  </r>
  <r>
    <x v="2"/>
    <x v="0"/>
    <x v="0"/>
    <s v="Packaging"/>
    <s v="Labels"/>
    <n v="11706"/>
    <n v="82.64"/>
  </r>
  <r>
    <x v="0"/>
    <x v="1"/>
    <x v="1"/>
    <s v="Packaging"/>
    <s v="Metal Containers &amp; Lids &lt; 30L"/>
    <n v="4944"/>
    <n v="17.79"/>
  </r>
  <r>
    <x v="1"/>
    <x v="1"/>
    <x v="1"/>
    <s v="Packaging"/>
    <s v="Metal Containers &amp; Lids &lt; 30L"/>
    <n v="4944"/>
    <n v="10.130000000000001"/>
  </r>
  <r>
    <x v="2"/>
    <x v="1"/>
    <x v="1"/>
    <s v="Packaging"/>
    <s v="Metal Containers &amp; Lids &lt; 30L"/>
    <n v="4944"/>
    <n v="68.14"/>
  </r>
  <r>
    <x v="0"/>
    <x v="2"/>
    <x v="2"/>
    <s v="Sales"/>
    <s v="Products for Resale"/>
    <n v="4571"/>
    <n v="7.89"/>
  </r>
  <r>
    <x v="1"/>
    <x v="2"/>
    <x v="2"/>
    <s v="Sales"/>
    <s v="Products for Resale"/>
    <n v="4571"/>
    <n v="44.57"/>
  </r>
  <r>
    <x v="2"/>
    <x v="2"/>
    <x v="2"/>
    <s v="Sales"/>
    <s v="Products for Resale"/>
    <n v="4571"/>
    <n v="42.22"/>
  </r>
  <r>
    <x v="0"/>
    <x v="3"/>
    <x v="3"/>
    <s v="Packaging"/>
    <s v="Plastic Containers &amp; Lids &lt; 30L"/>
    <n v="4023"/>
    <n v="13.19"/>
  </r>
  <r>
    <x v="1"/>
    <x v="3"/>
    <x v="3"/>
    <s v="Packaging"/>
    <s v="Plastic Containers &amp; Lids &lt; 30L"/>
    <n v="4023"/>
    <n v="6.02"/>
  </r>
  <r>
    <x v="2"/>
    <x v="3"/>
    <x v="3"/>
    <s v="Packaging"/>
    <s v="Plastic Containers &amp; Lids &lt; 30L"/>
    <n v="4023"/>
    <n v="75"/>
  </r>
  <r>
    <x v="0"/>
    <x v="4"/>
    <x v="4"/>
    <s v="Trading &amp; End Products"/>
    <s v="Trading products (old structure)"/>
    <n v="1998"/>
    <n v="27.06"/>
  </r>
  <r>
    <x v="1"/>
    <x v="4"/>
    <x v="4"/>
    <s v="Trading &amp; End Products"/>
    <s v="Trading products (old structure)"/>
    <n v="1998"/>
    <n v="30.77"/>
  </r>
  <r>
    <x v="2"/>
    <x v="4"/>
    <x v="4"/>
    <s v="Trading &amp; End Products"/>
    <s v="Trading products (old structure)"/>
    <n v="1998"/>
    <n v="39.21"/>
  </r>
  <r>
    <x v="0"/>
    <x v="5"/>
    <x v="5"/>
    <s v="Packaging"/>
    <s v="Packaging - Other"/>
    <n v="1964"/>
    <n v="14.16"/>
  </r>
  <r>
    <x v="1"/>
    <x v="5"/>
    <x v="5"/>
    <s v="Packaging"/>
    <s v="Packaging - Other"/>
    <n v="1964"/>
    <n v="5.0999999999999996"/>
  </r>
  <r>
    <x v="2"/>
    <x v="5"/>
    <x v="5"/>
    <s v="Packaging"/>
    <s v="Packaging - Other"/>
    <n v="1964"/>
    <n v="75.31"/>
  </r>
  <r>
    <x v="0"/>
    <x v="6"/>
    <x v="6"/>
    <s v="Additives"/>
    <s v="Extenders"/>
    <n v="1862"/>
    <n v="15.63"/>
  </r>
  <r>
    <x v="1"/>
    <x v="6"/>
    <x v="6"/>
    <s v="Additives"/>
    <s v="Extenders"/>
    <n v="1862"/>
    <n v="27.47"/>
  </r>
  <r>
    <x v="2"/>
    <x v="6"/>
    <x v="6"/>
    <s v="Additives"/>
    <s v="Extenders"/>
    <n v="1862"/>
    <n v="54.46"/>
  </r>
  <r>
    <x v="0"/>
    <x v="7"/>
    <x v="7"/>
    <s v="Packaging"/>
    <s v="Labels"/>
    <n v="577"/>
    <n v="14"/>
  </r>
  <r>
    <x v="1"/>
    <x v="7"/>
    <x v="7"/>
    <s v="Packaging"/>
    <s v="Labels"/>
    <n v="577"/>
    <n v="39.36"/>
  </r>
  <r>
    <x v="2"/>
    <x v="7"/>
    <x v="7"/>
    <s v="Packaging"/>
    <s v="Labels"/>
    <n v="577"/>
    <n v="44.44"/>
  </r>
  <r>
    <x v="0"/>
    <x v="8"/>
    <x v="8"/>
    <s v="Additives"/>
    <s v="Surfactants"/>
    <n v="475"/>
    <n v="21.43"/>
  </r>
  <r>
    <x v="1"/>
    <x v="8"/>
    <x v="8"/>
    <s v="Additives"/>
    <s v="Surfactants"/>
    <n v="475"/>
    <n v="16.899999999999999"/>
  </r>
  <r>
    <x v="2"/>
    <x v="8"/>
    <x v="8"/>
    <s v="Additives"/>
    <s v="Surfactants"/>
    <n v="475"/>
    <n v="58.44"/>
  </r>
  <r>
    <x v="0"/>
    <x v="9"/>
    <x v="9"/>
    <s v="Additives"/>
    <s v="Rheology &amp; Thixotropic Agents"/>
    <n v="448"/>
    <n v="23.04"/>
  </r>
  <r>
    <x v="1"/>
    <x v="9"/>
    <x v="9"/>
    <s v="Additives"/>
    <s v="Rheology &amp; Thixotropic Agents"/>
    <n v="448"/>
    <n v="20.75"/>
  </r>
  <r>
    <x v="2"/>
    <x v="9"/>
    <x v="9"/>
    <s v="Additives"/>
    <s v="Rheology &amp; Thixotropic Agents"/>
    <n v="448"/>
    <n v="51.37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85610"/>
    <n v="41941"/>
    <n v="48.99"/>
    <n v="99.99"/>
    <n v="1"/>
  </r>
  <r>
    <x v="1"/>
    <n v="235"/>
    <n v="4"/>
    <n v="1.7"/>
    <n v="0.0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52DBB-9D2D-4D0B-A356-455162C0F201}" name="PIVOT_Q1_Overview" cacheId="18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chartFormat="49" rowHeaderCaption="Day Duration" colHeaderCaption="Cases Status">
  <location ref="H3:L10" firstHeaderRow="1" firstDataRow="3" firstDataCol="1"/>
  <pivotFields count="6"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  <pivotField showAll="0" defaultSubtotal="0"/>
    <pivotField dataField="1" showAll="0" defaultSubtotal="0"/>
    <pivotField dataField="1" showAll="0" defaultSubtotal="0"/>
    <pivotField axis="axisCol" subtotalTop="0" showAll="0" defaultSubtotal="0">
      <items count="2">
        <item x="0"/>
        <item x="1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2">
    <field x="5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Total Number" fld="3" baseField="1" baseItem="0"/>
    <dataField name="Ratio %" fld="4" baseField="1" baseItem="0"/>
  </dataFields>
  <formats count="1">
    <format dxfId="64">
      <pivotArea dataOnly="0" fieldPosition="0">
        <references count="1">
          <reference field="1" count="0"/>
        </references>
      </pivotArea>
    </format>
  </formats>
  <chartFormats count="13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5" count="1" selected="0">
            <x v="0"/>
          </reference>
        </references>
      </pivotArea>
    </chartFormat>
    <chartFormat chart="28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8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8" format="15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28" format="16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48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8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8" format="23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48" format="24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8CD85-658E-4BF1-B156-64A742265987}" name="PIVOT_Q1_Monthly_Trend_2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 rowHeaderCaption="Year, Month  " colHeaderCaption="Risk Status">
  <location ref="H29:N46" firstHeaderRow="1" firstDataRow="3" firstDataCol="1" rowPageCount="1" colPageCount="1"/>
  <pivotFields count="9">
    <pivotField numFmtId="14" showAll="0" defaultSubtotal="0">
      <items count="13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2">
        <item x="1"/>
        <item h="1" x="0"/>
      </items>
    </pivotField>
    <pivotField axis="axisCol" showAll="0" defaultSubtotal="0">
      <items count="3">
        <item x="0"/>
        <item x="1"/>
        <item x="2"/>
      </items>
    </pivotField>
    <pivotField dataField="1" showAll="0" defaultSubtotal="0"/>
    <pivotField name="Ratio2" dataField="1" numFmtId="2" subtotalTop="0" showAll="0" defaultSubtotal="0">
      <items count="36">
        <item x="6"/>
        <item x="2"/>
        <item x="28"/>
        <item x="14"/>
        <item x="9"/>
        <item x="22"/>
        <item x="25"/>
        <item x="34"/>
        <item x="19"/>
        <item x="31"/>
        <item x="16"/>
        <item x="11"/>
        <item x="8"/>
        <item x="12"/>
        <item x="32"/>
        <item x="18"/>
        <item x="17"/>
        <item x="35"/>
        <item x="15"/>
        <item x="23"/>
        <item x="26"/>
        <item x="3"/>
        <item x="33"/>
        <item x="20"/>
        <item x="24"/>
        <item x="27"/>
        <item x="21"/>
        <item x="29"/>
        <item x="30"/>
        <item x="13"/>
        <item x="10"/>
        <item x="4"/>
        <item x="7"/>
        <item x="1"/>
        <item x="5"/>
        <item x="0"/>
      </items>
    </pivotField>
    <pivotField numFmtId="2" showAll="0" defaultSubtotal="0"/>
    <pivotField axis="axisRow" showAll="0" defaultSubtotal="0">
      <items count="14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2">
    <field x="8"/>
    <field x="6"/>
  </rowFields>
  <rowItems count="15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1">
    <pageField fld="1" hier="-1"/>
  </pageFields>
  <dataFields count="2">
    <dataField name="Total Cases" fld="3" baseField="0" baseItem="0"/>
    <dataField name="Ratio %" fld="4" baseField="8" baseItem="1" numFmtId="2"/>
  </dataFields>
  <formats count="1">
    <format dxfId="51">
      <pivotArea field="0" type="button" dataOnly="0" labelOnly="1" outline="0"/>
    </format>
  </format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5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5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5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5" format="18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5" format="1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45" format="2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47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7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7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7" format="3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7" format="3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47" format="32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816CA-2B10-4ED2-9B89-5F548CBA894C}" name="PIVOT_Q1_Monthly_Trend_1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0" rowHeaderCaption="Year, Month" colHeaderCaption="Cases Status">
  <location ref="H4:L21" firstHeaderRow="1" firstDataRow="3" firstDataCol="1"/>
  <pivotFields count="9">
    <pivotField numFmtId="14" showAll="0" defaultSubtotal="0">
      <items count="13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Col" showAll="0" defaultSubtotal="0">
      <items count="2">
        <item x="1"/>
        <item x="0"/>
      </items>
    </pivotField>
    <pivotField showAll="0" defaultSubtotal="0"/>
    <pivotField dataField="1" showAll="0" defaultSubtotal="0"/>
    <pivotField name="Ratio2" numFmtId="2" subtotalTop="0" showAll="0" defaultSubtotal="0"/>
    <pivotField dataField="1" numFmtId="2" showAll="0" defaultSubtotal="0"/>
    <pivotField axis="axisRow" showAll="0" defaultSubtotal="0">
      <items count="14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2">
    <field x="8"/>
    <field x="6"/>
  </rowFields>
  <rowItems count="15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</rowItems>
  <colFields count="2">
    <field x="1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Total Cases" fld="3" baseField="0" baseItem="0"/>
    <dataField name="Ratio %  " fld="5" baseField="8" baseItem="1" numFmtId="2"/>
  </dataFields>
  <formats count="1">
    <format dxfId="52">
      <pivotArea field="0" type="button" dataOnly="0" labelOnly="1" outline="0"/>
    </format>
  </format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9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9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9" format="1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49" format="1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E670D-3DAC-467F-AEFC-579AF51A7AC4}" name="PIVOT_Q1_Weekly_Trend_Cases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 rowHeaderCaption="Year, Week  " colHeaderCaption="Risk Status">
  <location ref="J30:P48" firstHeaderRow="1" firstDataRow="3" firstDataCol="1" rowPageCount="1" colPageCount="1"/>
  <pivotFields count="7">
    <pivotField axis="axisRow" subtotalTop="0" showAll="0" defaultSubtotal="0">
      <items count="2">
        <item x="1"/>
        <item x="0"/>
      </items>
    </pivotField>
    <pivotField axis="axisRow" subtotalTop="0" showAll="0" sortType="ascending" defaultSubtotal="0">
      <items count="14">
        <item x="2"/>
        <item x="1"/>
        <item x="0"/>
        <item x="13"/>
        <item x="12"/>
        <item x="11"/>
        <item x="10"/>
        <item x="9"/>
        <item x="8"/>
        <item x="7"/>
        <item x="6"/>
        <item x="5"/>
        <item x="4"/>
        <item x="3"/>
      </items>
    </pivotField>
    <pivotField axis="axisPage" showAll="0" defaultSubtotal="0">
      <items count="2">
        <item x="1"/>
        <item x="0"/>
      </items>
    </pivotField>
    <pivotField axis="axisCol" showAll="0" defaultSubtotal="0">
      <items count="3">
        <item x="0"/>
        <item x="1"/>
        <item x="2"/>
      </items>
    </pivotField>
    <pivotField dataField="1" showAll="0" defaultSubtotal="0"/>
    <pivotField name="Ratio2" dataField="1" numFmtId="2" subtotalTop="0" showAll="0" defaultSubtotal="0"/>
    <pivotField numFmtId="2" subtotalTop="0" showAll="0" defaultSubtotal="0"/>
  </pivotFields>
  <rowFields count="2">
    <field x="0"/>
    <field x="1"/>
  </rowFields>
  <rowItems count="16">
    <i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"/>
    </i>
    <i r="1">
      <x/>
    </i>
    <i r="1">
      <x v="1"/>
    </i>
    <i r="1">
      <x v="2"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1">
    <pageField fld="2" item="0" hier="-1"/>
  </pageFields>
  <dataFields count="2">
    <dataField name="Total Cases" fld="4" baseField="0" baseItem="0"/>
    <dataField name="Ratio %" fld="5" baseField="0" baseItem="0" numFmtId="2"/>
  </dataFields>
  <chartFormats count="2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4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5" format="1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45" format="16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45" format="1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47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7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7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7" format="2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47" format="28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47" format="2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E0079-507A-424C-86EF-EB9349EFAC40}" name="PIVOT_Q1_Weekly_Trend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9" rowHeaderCaption="Year, Week" colHeaderCaption="Cases Status">
  <location ref="J4:N22" firstHeaderRow="1" firstDataRow="3" firstDataCol="1"/>
  <pivotFields count="7">
    <pivotField axis="axisRow" subtotalTop="0" showAll="0" defaultSubtotal="0">
      <items count="2">
        <item x="1"/>
        <item x="0"/>
      </items>
    </pivotField>
    <pivotField axis="axisRow" subtotalTop="0" showAll="0" sortType="ascending" defaultSubtotal="0">
      <items count="14">
        <item x="2"/>
        <item x="1"/>
        <item x="0"/>
        <item x="13"/>
        <item x="12"/>
        <item x="11"/>
        <item x="10"/>
        <item x="9"/>
        <item x="8"/>
        <item x="7"/>
        <item x="6"/>
        <item x="5"/>
        <item x="4"/>
        <item x="3"/>
      </items>
    </pivotField>
    <pivotField axis="axisCol" showAll="0" defaultSubtotal="0">
      <items count="2">
        <item x="1"/>
        <item x="0"/>
      </items>
    </pivotField>
    <pivotField showAll="0" defaultSubtotal="0"/>
    <pivotField dataField="1" showAll="0" defaultSubtotal="0"/>
    <pivotField name="Ratio2" numFmtId="2" subtotalTop="0" showAll="0" defaultSubtotal="0"/>
    <pivotField dataField="1" numFmtId="2" subtotalTop="0" showAll="0" defaultSubtotal="0"/>
  </pivotFields>
  <rowFields count="2">
    <field x="0"/>
    <field x="1"/>
  </rowFields>
  <rowItems count="16">
    <i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"/>
    </i>
    <i r="1">
      <x/>
    </i>
    <i r="1">
      <x v="1"/>
    </i>
    <i r="1">
      <x v="2"/>
    </i>
  </rowItems>
  <colFields count="2">
    <field x="2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Total Cases" fld="4" baseField="0" baseItem="0"/>
    <dataField name="Ratio %  " fld="6" baseField="0" baseItem="0" numFmtId="2"/>
  </dataFields>
  <chartFormats count="1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36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6" format="1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36" format="1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38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8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8" format="18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38" format="1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55199-6039-41D6-86AB-178D0C7E88E3}" name="PIVOT_Q2_Stage_Duaration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 rowHeaderCaption="Stage, Cases Type  ">
  <location ref="L3:N16" firstHeaderRow="0" firstDataRow="1" firstDataCol="1"/>
  <pivotFields count="4">
    <pivotField axis="axisRow" showAll="0">
      <items count="8">
        <item x="0"/>
        <item m="1" x="5"/>
        <item m="1" x="6"/>
        <item m="1" x="3"/>
        <item m="1" x="4"/>
        <item x="1"/>
        <item x="2"/>
        <item t="default"/>
      </items>
    </pivotField>
    <pivotField axis="axisRow" showAll="0">
      <items count="10">
        <item m="1" x="6"/>
        <item m="1" x="7"/>
        <item m="1" x="8"/>
        <item m="1" x="3"/>
        <item m="1" x="4"/>
        <item m="1" x="5"/>
        <item x="0"/>
        <item x="1"/>
        <item x="2"/>
        <item t="default"/>
      </items>
    </pivotField>
    <pivotField dataField="1" showAll="0"/>
    <pivotField dataField="1" showAll="0"/>
  </pivotFields>
  <rowFields count="2">
    <field x="1"/>
    <field x="0"/>
  </rowFields>
  <rowItems count="13">
    <i>
      <x v="6"/>
    </i>
    <i r="1">
      <x/>
    </i>
    <i r="1">
      <x v="5"/>
    </i>
    <i r="1">
      <x v="6"/>
    </i>
    <i>
      <x v="7"/>
    </i>
    <i r="1">
      <x/>
    </i>
    <i r="1">
      <x v="5"/>
    </i>
    <i r="1">
      <x v="6"/>
    </i>
    <i>
      <x v="8"/>
    </i>
    <i r="1">
      <x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edian" fld="2" baseField="0" baseItem="2"/>
    <dataField name="P90 " fld="3" baseField="0" baseItem="2"/>
  </dataFields>
  <chartFormats count="4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47A6A-7AB2-49C0-B710-D6F240EA27BF}" name="PIVOT_Q2_Bottleneck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Stage, Cases Type">
  <location ref="J3:K16" firstHeaderRow="1" firstDataRow="1" firstDataCol="1"/>
  <pivotFields count="3">
    <pivotField axis="axisRow" showAll="0">
      <items count="8">
        <item x="0"/>
        <item m="1" x="5"/>
        <item m="1" x="6"/>
        <item m="1" x="3"/>
        <item m="1" x="4"/>
        <item x="1"/>
        <item x="2"/>
        <item t="default"/>
      </items>
    </pivotField>
    <pivotField axis="axisRow" showAll="0">
      <items count="10">
        <item m="1" x="6"/>
        <item m="1" x="7"/>
        <item m="1" x="8"/>
        <item m="1" x="3"/>
        <item m="1" x="4"/>
        <item m="1" x="5"/>
        <item x="0"/>
        <item x="1"/>
        <item x="2"/>
        <item t="default"/>
      </items>
    </pivotField>
    <pivotField dataField="1" numFmtId="1" showAll="0"/>
  </pivotFields>
  <rowFields count="2">
    <field x="1"/>
    <field x="0"/>
  </rowFields>
  <rowItems count="13">
    <i>
      <x v="6"/>
    </i>
    <i r="1">
      <x/>
    </i>
    <i r="1">
      <x v="5"/>
    </i>
    <i r="1">
      <x v="6"/>
    </i>
    <i>
      <x v="7"/>
    </i>
    <i r="1">
      <x/>
    </i>
    <i r="1">
      <x v="5"/>
    </i>
    <i r="1">
      <x v="6"/>
    </i>
    <i>
      <x v="8"/>
    </i>
    <i r="1">
      <x/>
    </i>
    <i r="1">
      <x v="5"/>
    </i>
    <i r="1">
      <x v="6"/>
    </i>
    <i t="grand">
      <x/>
    </i>
  </rowItems>
  <colItems count="1">
    <i/>
  </colItems>
  <dataFields count="1">
    <dataField name="Median  " fld="2" baseField="1" baseItem="0" numFmtId="1"/>
  </dataFields>
  <formats count="6">
    <format dxfId="38">
      <pivotArea collapsedLevelsAreSubtotals="1" fieldPosition="0">
        <references count="1">
          <reference field="1" count="1">
            <x v="0"/>
          </reference>
        </references>
      </pivotArea>
    </format>
    <format dxfId="37">
      <pivotArea collapsedLevelsAreSubtotals="1" fieldPosition="0">
        <references count="2">
          <reference field="0" count="0"/>
          <reference field="1" count="1" selected="0">
            <x v="0"/>
          </reference>
        </references>
      </pivotArea>
    </format>
    <format dxfId="36">
      <pivotArea collapsedLevelsAreSubtotals="1" fieldPosition="0">
        <references count="1">
          <reference field="1" count="1">
            <x v="1"/>
          </reference>
        </references>
      </pivotArea>
    </format>
    <format dxfId="35">
      <pivotArea collapsedLevelsAreSubtotals="1" fieldPosition="0">
        <references count="2">
          <reference field="0" count="0"/>
          <reference field="1" count="1" selected="0">
            <x v="1"/>
          </reference>
        </references>
      </pivotArea>
    </format>
    <format dxfId="34">
      <pivotArea collapsedLevelsAreSubtotals="1" fieldPosition="0">
        <references count="1">
          <reference field="1" count="1">
            <x v="2"/>
          </reference>
        </references>
      </pivotArea>
    </format>
    <format dxfId="33">
      <pivotArea collapsedLevelsAreSubtotals="1" fieldPosition="0">
        <references count="2">
          <reference field="0" count="0"/>
          <reference field="1" count="1" selected="0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5C40C-3CF4-4B83-81C5-026FED28E461}" name="PIVOT_Q3_Vendor_Delay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I40:L71" firstHeaderRow="0" firstDataRow="1" firstDataCol="1"/>
  <pivotFields count="6">
    <pivotField axis="axisRow" showAll="0" defaultSubtotal="0">
      <items count="134">
        <item x="128"/>
        <item x="7"/>
        <item x="82"/>
        <item x="123"/>
        <item x="3"/>
        <item x="125"/>
        <item x="86"/>
        <item x="34"/>
        <item x="41"/>
        <item x="33"/>
        <item x="65"/>
        <item x="19"/>
        <item x="133"/>
        <item x="100"/>
        <item x="54"/>
        <item x="117"/>
        <item x="45"/>
        <item x="13"/>
        <item x="64"/>
        <item x="0"/>
        <item x="98"/>
        <item x="20"/>
        <item x="48"/>
        <item x="71"/>
        <item x="91"/>
        <item x="85"/>
        <item x="30"/>
        <item x="103"/>
        <item x="97"/>
        <item x="124"/>
        <item x="46"/>
        <item x="112"/>
        <item x="60"/>
        <item x="119"/>
        <item x="104"/>
        <item x="63"/>
        <item x="38"/>
        <item x="115"/>
        <item x="94"/>
        <item x="69"/>
        <item x="35"/>
        <item x="132"/>
        <item x="87"/>
        <item x="5"/>
        <item x="66"/>
        <item x="90"/>
        <item x="108"/>
        <item x="131"/>
        <item x="95"/>
        <item x="101"/>
        <item x="113"/>
        <item x="114"/>
        <item x="111"/>
        <item x="99"/>
        <item x="121"/>
        <item x="59"/>
        <item x="129"/>
        <item x="56"/>
        <item x="126"/>
        <item x="6"/>
        <item x="73"/>
        <item x="4"/>
        <item x="67"/>
        <item x="96"/>
        <item x="53"/>
        <item x="89"/>
        <item x="130"/>
        <item x="14"/>
        <item x="26"/>
        <item x="127"/>
        <item x="32"/>
        <item x="12"/>
        <item x="80"/>
        <item x="9"/>
        <item x="22"/>
        <item x="122"/>
        <item x="31"/>
        <item x="116"/>
        <item x="84"/>
        <item x="17"/>
        <item x="55"/>
        <item x="107"/>
        <item x="29"/>
        <item x="24"/>
        <item x="102"/>
        <item x="36"/>
        <item x="68"/>
        <item x="110"/>
        <item x="21"/>
        <item x="105"/>
        <item x="16"/>
        <item x="118"/>
        <item x="23"/>
        <item x="50"/>
        <item x="25"/>
        <item x="11"/>
        <item x="37"/>
        <item x="42"/>
        <item x="1"/>
        <item x="92"/>
        <item x="78"/>
        <item x="74"/>
        <item x="120"/>
        <item x="83"/>
        <item x="43"/>
        <item x="72"/>
        <item x="28"/>
        <item x="51"/>
        <item x="8"/>
        <item x="58"/>
        <item x="10"/>
        <item x="49"/>
        <item x="88"/>
        <item x="27"/>
        <item x="70"/>
        <item x="75"/>
        <item x="40"/>
        <item x="62"/>
        <item x="39"/>
        <item x="81"/>
        <item x="57"/>
        <item x="2"/>
        <item x="15"/>
        <item x="106"/>
        <item x="79"/>
        <item x="44"/>
        <item x="18"/>
        <item x="76"/>
        <item x="47"/>
        <item x="93"/>
        <item x="52"/>
        <item x="61"/>
        <item x="109"/>
        <item x="77"/>
      </items>
    </pivotField>
    <pivotField dataField="1" showAll="0" defaultSubtotal="0"/>
    <pivotField dataField="1" showAll="0" defaultSubtotal="0"/>
    <pivotField dataField="1" showAll="0" defaultSubtotal="0"/>
    <pivotField showAll="0" defaultSubtotal="0"/>
    <pivotField axis="axisRow" multipleItemSelectionAllowed="1" showAll="0" defaultSubtota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</items>
    </pivotField>
  </pivotFields>
  <rowFields count="2">
    <field x="5"/>
    <field x="0"/>
  </rowFields>
  <rowItems count="31">
    <i>
      <x/>
    </i>
    <i r="1">
      <x v="19"/>
    </i>
    <i>
      <x v="1"/>
    </i>
    <i r="1">
      <x v="98"/>
    </i>
    <i>
      <x v="2"/>
    </i>
    <i r="1">
      <x v="121"/>
    </i>
    <i>
      <x v="3"/>
    </i>
    <i r="1">
      <x v="4"/>
    </i>
    <i>
      <x v="4"/>
    </i>
    <i r="1">
      <x v="61"/>
    </i>
    <i>
      <x v="5"/>
    </i>
    <i r="1">
      <x v="43"/>
    </i>
    <i>
      <x v="6"/>
    </i>
    <i r="1">
      <x v="59"/>
    </i>
    <i>
      <x v="7"/>
    </i>
    <i r="1">
      <x v="1"/>
    </i>
    <i>
      <x v="8"/>
    </i>
    <i r="1">
      <x v="108"/>
    </i>
    <i>
      <x v="9"/>
    </i>
    <i r="1">
      <x v="73"/>
    </i>
    <i>
      <x v="10"/>
    </i>
    <i r="1">
      <x v="110"/>
    </i>
    <i>
      <x v="11"/>
    </i>
    <i r="1">
      <x v="95"/>
    </i>
    <i>
      <x v="12"/>
    </i>
    <i r="1">
      <x v="71"/>
    </i>
    <i>
      <x v="13"/>
    </i>
    <i r="1">
      <x v="17"/>
    </i>
    <i>
      <x v="14"/>
    </i>
    <i r="1">
      <x v="6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ases" fld="1" baseField="5" baseItem="0"/>
    <dataField name="Delay cases" fld="2" baseField="5" baseItem="4"/>
    <dataField name="Delayed Ratio" fld="3" baseField="0" baseItem="71"/>
  </dataFields>
  <chartFormats count="6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EE598-0F06-4F1B-84B3-8AA7A0C87D0D}" name="PIVOT_Q3_Vendor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I5:K36" firstHeaderRow="0" firstDataRow="1" firstDataCol="1"/>
  <pivotFields count="6">
    <pivotField axis="axisRow" showAll="0" sortType="descending" defaultSubtotal="0">
      <items count="134">
        <item x="128"/>
        <item x="7"/>
        <item x="82"/>
        <item x="123"/>
        <item x="3"/>
        <item x="125"/>
        <item x="86"/>
        <item x="34"/>
        <item x="41"/>
        <item x="33"/>
        <item x="65"/>
        <item x="19"/>
        <item x="133"/>
        <item x="100"/>
        <item x="54"/>
        <item x="117"/>
        <item x="45"/>
        <item x="13"/>
        <item x="64"/>
        <item x="0"/>
        <item x="98"/>
        <item x="20"/>
        <item x="48"/>
        <item x="71"/>
        <item x="91"/>
        <item x="85"/>
        <item x="30"/>
        <item x="103"/>
        <item x="97"/>
        <item x="124"/>
        <item x="46"/>
        <item x="112"/>
        <item x="60"/>
        <item x="119"/>
        <item x="104"/>
        <item x="63"/>
        <item x="38"/>
        <item x="115"/>
        <item x="94"/>
        <item x="69"/>
        <item x="35"/>
        <item x="132"/>
        <item x="87"/>
        <item x="5"/>
        <item x="66"/>
        <item x="90"/>
        <item x="108"/>
        <item x="131"/>
        <item x="95"/>
        <item x="101"/>
        <item x="113"/>
        <item x="114"/>
        <item x="111"/>
        <item x="99"/>
        <item x="121"/>
        <item x="59"/>
        <item x="129"/>
        <item x="56"/>
        <item x="126"/>
        <item x="6"/>
        <item x="73"/>
        <item x="4"/>
        <item x="67"/>
        <item x="96"/>
        <item x="53"/>
        <item x="89"/>
        <item x="130"/>
        <item x="14"/>
        <item x="26"/>
        <item x="127"/>
        <item x="32"/>
        <item x="12"/>
        <item x="80"/>
        <item x="9"/>
        <item x="22"/>
        <item x="122"/>
        <item x="31"/>
        <item x="116"/>
        <item x="84"/>
        <item x="17"/>
        <item x="55"/>
        <item x="107"/>
        <item x="29"/>
        <item x="24"/>
        <item x="102"/>
        <item x="36"/>
        <item x="68"/>
        <item x="110"/>
        <item x="21"/>
        <item x="105"/>
        <item x="16"/>
        <item x="118"/>
        <item x="23"/>
        <item x="50"/>
        <item x="25"/>
        <item x="11"/>
        <item x="37"/>
        <item x="42"/>
        <item x="1"/>
        <item x="92"/>
        <item x="78"/>
        <item x="74"/>
        <item x="120"/>
        <item x="83"/>
        <item x="43"/>
        <item x="72"/>
        <item x="28"/>
        <item x="51"/>
        <item x="8"/>
        <item x="58"/>
        <item x="10"/>
        <item x="49"/>
        <item x="88"/>
        <item x="27"/>
        <item x="70"/>
        <item x="75"/>
        <item x="40"/>
        <item x="62"/>
        <item x="39"/>
        <item x="81"/>
        <item x="57"/>
        <item x="2"/>
        <item x="15"/>
        <item x="106"/>
        <item x="79"/>
        <item x="44"/>
        <item x="18"/>
        <item x="76"/>
        <item x="47"/>
        <item x="93"/>
        <item x="52"/>
        <item x="61"/>
        <item x="109"/>
        <item x="77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defaultSubtotal="0"/>
    <pivotField dataField="1" showAll="0" defaultSubtotal="0"/>
    <pivotField showAll="0" defaultSubtotal="0"/>
    <pivotField dataField="1" showAll="0" defaultSubtotal="0"/>
    <pivotField axis="axisRow" multipleItemSelectionAllowed="1" showAll="0" defaultSubtota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</items>
    </pivotField>
  </pivotFields>
  <rowFields count="2">
    <field x="5"/>
    <field x="0"/>
  </rowFields>
  <rowItems count="31">
    <i>
      <x/>
    </i>
    <i r="1">
      <x v="19"/>
    </i>
    <i>
      <x v="1"/>
    </i>
    <i r="1">
      <x v="98"/>
    </i>
    <i>
      <x v="2"/>
    </i>
    <i r="1">
      <x v="121"/>
    </i>
    <i>
      <x v="3"/>
    </i>
    <i r="1">
      <x v="4"/>
    </i>
    <i>
      <x v="4"/>
    </i>
    <i r="1">
      <x v="61"/>
    </i>
    <i>
      <x v="5"/>
    </i>
    <i r="1">
      <x v="43"/>
    </i>
    <i>
      <x v="6"/>
    </i>
    <i r="1">
      <x v="59"/>
    </i>
    <i>
      <x v="7"/>
    </i>
    <i r="1">
      <x v="1"/>
    </i>
    <i>
      <x v="8"/>
    </i>
    <i r="1">
      <x v="108"/>
    </i>
    <i>
      <x v="9"/>
    </i>
    <i r="1">
      <x v="73"/>
    </i>
    <i>
      <x v="10"/>
    </i>
    <i r="1">
      <x v="110"/>
    </i>
    <i>
      <x v="11"/>
    </i>
    <i r="1">
      <x v="95"/>
    </i>
    <i>
      <x v="12"/>
    </i>
    <i r="1">
      <x v="71"/>
    </i>
    <i>
      <x v="13"/>
    </i>
    <i r="1">
      <x v="17"/>
    </i>
    <i>
      <x v="14"/>
    </i>
    <i r="1"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Delay Cases" fld="2" baseField="5" baseItem="0"/>
    <dataField name="Impact Share" fld="4" baseField="5" baseItem="0"/>
  </dataFields>
  <chartFormats count="4"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B99F9-4392-45BF-9FB4-81356D838B53}" name="PIVOT_Q3_Vendor_duaration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0" rowHeaderCaption="Vendor Rank, Vendor Key" colHeaderCaption="Days Duaration">
  <location ref="J5:N37" firstHeaderRow="1" firstDataRow="3" firstDataCol="1" rowPageCount="1" colPageCount="1"/>
  <pivotFields count="8">
    <pivotField axis="axisPage" showAll="0" defaultSubtotal="0">
      <items count="6">
        <item x="1"/>
        <item x="2"/>
        <item x="0"/>
        <item m="1" x="3"/>
        <item m="1" x="4"/>
        <item m="1" x="5"/>
      </items>
    </pivotField>
    <pivotField axis="axisRow" showAll="0" defaultSubtotal="0">
      <items count="15">
        <item x="7"/>
        <item x="3"/>
        <item x="13"/>
        <item x="0"/>
        <item x="5"/>
        <item x="6"/>
        <item x="4"/>
        <item x="14"/>
        <item x="12"/>
        <item x="9"/>
        <item x="11"/>
        <item x="1"/>
        <item x="8"/>
        <item x="10"/>
        <item x="2"/>
      </items>
    </pivotField>
    <pivotField axis="axisRow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Col" subtotalTop="0" showAll="0" defaultSubtotal="0">
      <items count="4">
        <item m="1" x="3"/>
        <item m="1" x="2"/>
        <item x="1"/>
        <item x="0"/>
      </items>
    </pivotField>
    <pivotField showAll="0" defaultSubtotal="0"/>
    <pivotField dataField="1" showAll="0" defaultSubtotal="0"/>
    <pivotField showAll="0" defaultSubtotal="0"/>
    <pivotField dataField="1" subtotalTop="0" dragToRow="0" dragToCol="0" dragToPage="0" showAll="0" defaultSubtotal="0"/>
  </pivotFields>
  <rowFields count="2">
    <field x="2"/>
    <field x="1"/>
  </rowFields>
  <rowItems count="30">
    <i>
      <x/>
    </i>
    <i r="1">
      <x v="3"/>
    </i>
    <i>
      <x v="1"/>
    </i>
    <i r="1">
      <x v="11"/>
    </i>
    <i>
      <x v="2"/>
    </i>
    <i r="1">
      <x v="14"/>
    </i>
    <i>
      <x v="3"/>
    </i>
    <i r="1">
      <x v="1"/>
    </i>
    <i>
      <x v="4"/>
    </i>
    <i r="1">
      <x v="6"/>
    </i>
    <i>
      <x v="5"/>
    </i>
    <i r="1">
      <x v="4"/>
    </i>
    <i>
      <x v="6"/>
    </i>
    <i r="1">
      <x v="5"/>
    </i>
    <i>
      <x v="7"/>
    </i>
    <i r="1">
      <x/>
    </i>
    <i>
      <x v="8"/>
    </i>
    <i r="1">
      <x v="12"/>
    </i>
    <i>
      <x v="9"/>
    </i>
    <i r="1">
      <x v="9"/>
    </i>
    <i>
      <x v="10"/>
    </i>
    <i r="1">
      <x v="13"/>
    </i>
    <i>
      <x v="11"/>
    </i>
    <i r="1">
      <x v="10"/>
    </i>
    <i>
      <x v="12"/>
    </i>
    <i r="1">
      <x v="8"/>
    </i>
    <i>
      <x v="13"/>
    </i>
    <i r="1">
      <x v="2"/>
    </i>
    <i>
      <x v="14"/>
    </i>
    <i r="1">
      <x v="7"/>
    </i>
  </rowItems>
  <colFields count="2">
    <field x="3"/>
    <field x="-2"/>
  </colFields>
  <colItems count="4">
    <i>
      <x v="2"/>
      <x/>
    </i>
    <i r="1" i="1">
      <x v="1"/>
    </i>
    <i>
      <x v="3"/>
      <x/>
    </i>
    <i r="1" i="1">
      <x v="1"/>
    </i>
  </colItems>
  <pageFields count="1">
    <pageField fld="0" item="1" hier="-1"/>
  </pageFields>
  <dataFields count="2">
    <dataField name="Median   " fld="5" baseField="2" baseItem="2"/>
    <dataField name="Median duration of on-time cases" fld="7" subtotal="max" baseField="2" baseItem="11"/>
  </dataFields>
  <chartFormats count="1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8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6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8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89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9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9" format="10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89" format="1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34D3E-91C3-44F4-AA4C-3ED940F252A7}" name="PIVOT_SQL_Q3_Vendor_bottleneck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4" rowHeaderCaption="Vendor Rank, Vendor Key">
  <location ref="H5:I35" firstHeaderRow="1" firstDataRow="1" firstDataCol="1" rowPageCount="1" colPageCount="1"/>
  <pivotFields count="5">
    <pivotField axis="axisPage" showAll="0" defaultSubtotal="0">
      <items count="6">
        <item x="0"/>
        <item x="1"/>
        <item x="2"/>
        <item m="1" x="3"/>
        <item m="1" x="4"/>
        <item m="1" x="5"/>
      </items>
    </pivotField>
    <pivotField axis="axisRow" showAll="0" defaultSubtotal="0">
      <items count="15">
        <item x="7"/>
        <item x="3"/>
        <item x="13"/>
        <item x="0"/>
        <item x="5"/>
        <item x="6"/>
        <item x="4"/>
        <item x="14"/>
        <item x="12"/>
        <item x="9"/>
        <item x="11"/>
        <item x="1"/>
        <item x="8"/>
        <item x="10"/>
        <item x="2"/>
      </items>
    </pivotField>
    <pivotField axis="axisRow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showAll="0" defaultSubtotal="0"/>
    <pivotField dataField="1" showAll="0" defaultSubtotal="0"/>
  </pivotFields>
  <rowFields count="2">
    <field x="2"/>
    <field x="1"/>
  </rowFields>
  <rowItems count="30">
    <i>
      <x/>
    </i>
    <i r="1">
      <x v="3"/>
    </i>
    <i>
      <x v="1"/>
    </i>
    <i r="1">
      <x v="11"/>
    </i>
    <i>
      <x v="2"/>
    </i>
    <i r="1">
      <x v="14"/>
    </i>
    <i>
      <x v="3"/>
    </i>
    <i r="1">
      <x v="1"/>
    </i>
    <i>
      <x v="4"/>
    </i>
    <i r="1">
      <x v="6"/>
    </i>
    <i>
      <x v="5"/>
    </i>
    <i r="1">
      <x v="4"/>
    </i>
    <i>
      <x v="6"/>
    </i>
    <i r="1">
      <x v="5"/>
    </i>
    <i>
      <x v="7"/>
    </i>
    <i r="1">
      <x/>
    </i>
    <i>
      <x v="8"/>
    </i>
    <i r="1">
      <x v="12"/>
    </i>
    <i>
      <x v="9"/>
    </i>
    <i r="1">
      <x v="9"/>
    </i>
    <i>
      <x v="10"/>
    </i>
    <i r="1">
      <x v="13"/>
    </i>
    <i>
      <x v="11"/>
    </i>
    <i r="1">
      <x v="10"/>
    </i>
    <i>
      <x v="12"/>
    </i>
    <i r="1">
      <x v="8"/>
    </i>
    <i>
      <x v="13"/>
    </i>
    <i r="1">
      <x v="2"/>
    </i>
    <i>
      <x v="14"/>
    </i>
    <i r="1">
      <x v="7"/>
    </i>
  </rowItems>
  <colItems count="1">
    <i/>
  </colItems>
  <pageFields count="1">
    <pageField fld="0" item="2" hier="-1"/>
  </pageFields>
  <dataFields count="1">
    <dataField name="Contribution to Delay" fld="4" baseField="0" baseItem="0"/>
  </dataFields>
  <formats count="29">
    <format dxfId="31">
      <pivotArea collapsedLevelsAreSubtotals="1" fieldPosition="0">
        <references count="2">
          <reference field="1" count="1">
            <x v="3"/>
          </reference>
          <reference field="2" count="1" selected="0">
            <x v="0"/>
          </reference>
        </references>
      </pivotArea>
    </format>
    <format dxfId="30">
      <pivotArea collapsedLevelsAreSubtotals="1" fieldPosition="0">
        <references count="1">
          <reference field="2" count="1">
            <x v="1"/>
          </reference>
        </references>
      </pivotArea>
    </format>
    <format dxfId="29">
      <pivotArea collapsedLevelsAreSubtotals="1" fieldPosition="0">
        <references count="2">
          <reference field="1" count="1">
            <x v="11"/>
          </reference>
          <reference field="2" count="1" selected="0">
            <x v="1"/>
          </reference>
        </references>
      </pivotArea>
    </format>
    <format dxfId="28">
      <pivotArea collapsedLevelsAreSubtotals="1" fieldPosition="0">
        <references count="1">
          <reference field="2" count="1">
            <x v="2"/>
          </reference>
        </references>
      </pivotArea>
    </format>
    <format dxfId="27">
      <pivotArea collapsedLevelsAreSubtotals="1" fieldPosition="0">
        <references count="2">
          <reference field="1" count="1">
            <x v="14"/>
          </reference>
          <reference field="2" count="1" selected="0">
            <x v="2"/>
          </reference>
        </references>
      </pivotArea>
    </format>
    <format dxfId="26">
      <pivotArea collapsedLevelsAreSubtotals="1" fieldPosition="0">
        <references count="1">
          <reference field="2" count="1">
            <x v="3"/>
          </reference>
        </references>
      </pivotArea>
    </format>
    <format dxfId="25">
      <pivotArea collapsedLevelsAreSubtotals="1" fieldPosition="0">
        <references count="2">
          <reference field="1" count="1">
            <x v="1"/>
          </reference>
          <reference field="2" count="1" selected="0">
            <x v="3"/>
          </reference>
        </references>
      </pivotArea>
    </format>
    <format dxfId="24">
      <pivotArea collapsedLevelsAreSubtotals="1" fieldPosition="0">
        <references count="1">
          <reference field="2" count="1">
            <x v="4"/>
          </reference>
        </references>
      </pivotArea>
    </format>
    <format dxfId="23">
      <pivotArea collapsedLevelsAreSubtotals="1" fieldPosition="0">
        <references count="2">
          <reference field="1" count="1">
            <x v="6"/>
          </reference>
          <reference field="2" count="1" selected="0">
            <x v="4"/>
          </reference>
        </references>
      </pivotArea>
    </format>
    <format dxfId="22">
      <pivotArea collapsedLevelsAreSubtotals="1" fieldPosition="0">
        <references count="1">
          <reference field="2" count="1">
            <x v="5"/>
          </reference>
        </references>
      </pivotArea>
    </format>
    <format dxfId="21">
      <pivotArea collapsedLevelsAreSubtotals="1" fieldPosition="0">
        <references count="2">
          <reference field="1" count="1">
            <x v="4"/>
          </reference>
          <reference field="2" count="1" selected="0">
            <x v="5"/>
          </reference>
        </references>
      </pivotArea>
    </format>
    <format dxfId="20">
      <pivotArea collapsedLevelsAreSubtotals="1" fieldPosition="0">
        <references count="1">
          <reference field="2" count="1">
            <x v="6"/>
          </reference>
        </references>
      </pivotArea>
    </format>
    <format dxfId="19">
      <pivotArea collapsedLevelsAreSubtotals="1" fieldPosition="0">
        <references count="2">
          <reference field="1" count="1">
            <x v="5"/>
          </reference>
          <reference field="2" count="1" selected="0">
            <x v="6"/>
          </reference>
        </references>
      </pivotArea>
    </format>
    <format dxfId="18">
      <pivotArea collapsedLevelsAreSubtotals="1" fieldPosition="0">
        <references count="1">
          <reference field="2" count="1">
            <x v="7"/>
          </reference>
        </references>
      </pivotArea>
    </format>
    <format dxfId="17">
      <pivotArea collapsedLevelsAreSubtotals="1" fieldPosition="0">
        <references count="2">
          <reference field="1" count="1">
            <x v="0"/>
          </reference>
          <reference field="2" count="1" selected="0">
            <x v="7"/>
          </reference>
        </references>
      </pivotArea>
    </format>
    <format dxfId="16">
      <pivotArea collapsedLevelsAreSubtotals="1" fieldPosition="0">
        <references count="1">
          <reference field="2" count="1">
            <x v="8"/>
          </reference>
        </references>
      </pivotArea>
    </format>
    <format dxfId="15">
      <pivotArea collapsedLevelsAreSubtotals="1" fieldPosition="0">
        <references count="2">
          <reference field="1" count="1">
            <x v="12"/>
          </reference>
          <reference field="2" count="1" selected="0">
            <x v="8"/>
          </reference>
        </references>
      </pivotArea>
    </format>
    <format dxfId="14">
      <pivotArea collapsedLevelsAreSubtotals="1" fieldPosition="0">
        <references count="1">
          <reference field="2" count="1">
            <x v="9"/>
          </reference>
        </references>
      </pivotArea>
    </format>
    <format dxfId="13">
      <pivotArea collapsedLevelsAreSubtotals="1" fieldPosition="0">
        <references count="2">
          <reference field="1" count="1">
            <x v="9"/>
          </reference>
          <reference field="2" count="1" selected="0">
            <x v="9"/>
          </reference>
        </references>
      </pivotArea>
    </format>
    <format dxfId="12">
      <pivotArea collapsedLevelsAreSubtotals="1" fieldPosition="0">
        <references count="1">
          <reference field="2" count="1">
            <x v="10"/>
          </reference>
        </references>
      </pivotArea>
    </format>
    <format dxfId="11">
      <pivotArea collapsedLevelsAreSubtotals="1" fieldPosition="0">
        <references count="2">
          <reference field="1" count="1">
            <x v="13"/>
          </reference>
          <reference field="2" count="1" selected="0">
            <x v="10"/>
          </reference>
        </references>
      </pivotArea>
    </format>
    <format dxfId="10">
      <pivotArea collapsedLevelsAreSubtotals="1" fieldPosition="0">
        <references count="1">
          <reference field="2" count="1">
            <x v="11"/>
          </reference>
        </references>
      </pivotArea>
    </format>
    <format dxfId="9">
      <pivotArea collapsedLevelsAreSubtotals="1" fieldPosition="0">
        <references count="2">
          <reference field="1" count="1">
            <x v="10"/>
          </reference>
          <reference field="2" count="1" selected="0">
            <x v="11"/>
          </reference>
        </references>
      </pivotArea>
    </format>
    <format dxfId="8">
      <pivotArea collapsedLevelsAreSubtotals="1" fieldPosition="0">
        <references count="1">
          <reference field="2" count="1">
            <x v="12"/>
          </reference>
        </references>
      </pivotArea>
    </format>
    <format dxfId="7">
      <pivotArea collapsedLevelsAreSubtotals="1" fieldPosition="0">
        <references count="2">
          <reference field="1" count="1">
            <x v="8"/>
          </reference>
          <reference field="2" count="1" selected="0">
            <x v="12"/>
          </reference>
        </references>
      </pivotArea>
    </format>
    <format dxfId="6">
      <pivotArea collapsedLevelsAreSubtotals="1" fieldPosition="0">
        <references count="1">
          <reference field="2" count="1">
            <x v="13"/>
          </reference>
        </references>
      </pivotArea>
    </format>
    <format dxfId="5">
      <pivotArea collapsedLevelsAreSubtotals="1" fieldPosition="0">
        <references count="2">
          <reference field="1" count="1">
            <x v="2"/>
          </reference>
          <reference field="2" count="1" selected="0">
            <x v="13"/>
          </reference>
        </references>
      </pivotArea>
    </format>
    <format dxfId="4">
      <pivotArea collapsedLevelsAreSubtotals="1" fieldPosition="0">
        <references count="1">
          <reference field="2" count="1">
            <x v="14"/>
          </reference>
        </references>
      </pivotArea>
    </format>
    <format dxfId="3">
      <pivotArea collapsedLevelsAreSubtotals="1" fieldPosition="0">
        <references count="2">
          <reference field="1" count="1">
            <x v="7"/>
          </reference>
          <reference field="2" count="1" selected="0">
            <x v="14"/>
          </reference>
        </references>
      </pivotArea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32317-C735-440E-819C-583B71987A24}" name="PIVOT_Q3_Spend_area_delay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 rowHeaderCaption="Spend area Rank, Spend area Key">
  <location ref="J27:M47" firstHeaderRow="0" firstDataRow="1" firstDataCol="1"/>
  <pivotFields count="7">
    <pivotField axis="axisRow" showAll="0" defaultSubtotal="0">
      <items count="54">
        <item x="11"/>
        <item x="39"/>
        <item x="17"/>
        <item x="14"/>
        <item x="20"/>
        <item x="6"/>
        <item x="33"/>
        <item x="9"/>
        <item x="8"/>
        <item x="26"/>
        <item x="38"/>
        <item x="46"/>
        <item x="47"/>
        <item x="51"/>
        <item x="16"/>
        <item x="10"/>
        <item x="25"/>
        <item x="22"/>
        <item x="52"/>
        <item x="34"/>
        <item x="42"/>
        <item x="53"/>
        <item x="45"/>
        <item x="0"/>
        <item x="1"/>
        <item x="5"/>
        <item x="40"/>
        <item x="13"/>
        <item x="3"/>
        <item x="44"/>
        <item x="31"/>
        <item x="21"/>
        <item x="43"/>
        <item x="50"/>
        <item x="23"/>
        <item x="37"/>
        <item x="49"/>
        <item x="2"/>
        <item x="29"/>
        <item x="35"/>
        <item x="15"/>
        <item x="12"/>
        <item x="24"/>
        <item x="4"/>
        <item x="48"/>
        <item x="41"/>
        <item x="27"/>
        <item x="30"/>
        <item x="7"/>
        <item x="19"/>
        <item x="36"/>
        <item x="32"/>
        <item x="18"/>
        <item x="28"/>
      </items>
    </pivotField>
    <pivotField showAll="0" defaultSubtotal="0">
      <items count="15">
        <item x="0"/>
        <item x="1"/>
        <item x="2"/>
        <item x="3"/>
        <item x="13"/>
        <item x="14"/>
        <item x="4"/>
        <item x="11"/>
        <item x="9"/>
        <item x="5"/>
        <item x="12"/>
        <item x="8"/>
        <item x="7"/>
        <item x="6"/>
        <item x="10"/>
      </items>
    </pivotField>
    <pivotField dataField="1" showAll="0" defaultSubtotal="0"/>
    <pivotField dataField="1" showAll="0" defaultSubtotal="0"/>
    <pivotField dataField="1" showAll="0" defaultSubtotal="0"/>
    <pivotField showAll="0" defaultSubtotal="0"/>
    <pivotField axis="axisRow" showAll="0" defaultSubtotal="0">
      <items count="54">
        <item x="0"/>
        <item x="1"/>
        <item x="2"/>
        <item x="3"/>
        <item x="4"/>
        <item x="5"/>
        <item x="6"/>
        <item x="7"/>
        <item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</items>
    </pivotField>
  </pivotFields>
  <rowFields count="2">
    <field x="6"/>
    <field x="0"/>
  </rowFields>
  <rowItems count="20">
    <i>
      <x/>
    </i>
    <i r="1">
      <x v="23"/>
    </i>
    <i>
      <x v="1"/>
    </i>
    <i r="1">
      <x v="24"/>
    </i>
    <i>
      <x v="2"/>
    </i>
    <i r="1">
      <x v="37"/>
    </i>
    <i>
      <x v="3"/>
    </i>
    <i r="1">
      <x v="28"/>
    </i>
    <i>
      <x v="4"/>
    </i>
    <i r="1">
      <x v="43"/>
    </i>
    <i>
      <x v="5"/>
    </i>
    <i r="1">
      <x v="25"/>
    </i>
    <i>
      <x v="6"/>
    </i>
    <i r="1">
      <x v="5"/>
    </i>
    <i>
      <x v="7"/>
    </i>
    <i r="1">
      <x v="48"/>
    </i>
    <i>
      <x v="8"/>
    </i>
    <i r="1">
      <x v="8"/>
    </i>
    <i>
      <x v="9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ases" fld="2" baseField="0" baseItem="24"/>
    <dataField name="Sum of Delay_cases" fld="3" baseField="0" baseItem="0"/>
    <dataField name="Delayed Ratio" fld="4" baseField="0" baseItem="24"/>
  </dataFields>
  <chartFormats count="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89B5B-6BED-42B5-86DC-112D513FE905}" name="PIVOT_Q3_Spend_area_ranking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 rowHeaderCaption="Spend area Rank, Spend area Key">
  <location ref="J4:L24" firstHeaderRow="0" firstDataRow="1" firstDataCol="1"/>
  <pivotFields count="7">
    <pivotField axis="axisRow" showAll="0" defaultSubtotal="0">
      <items count="54">
        <item x="11"/>
        <item x="39"/>
        <item x="17"/>
        <item x="14"/>
        <item x="20"/>
        <item x="6"/>
        <item x="33"/>
        <item x="9"/>
        <item x="8"/>
        <item x="26"/>
        <item x="38"/>
        <item x="46"/>
        <item x="47"/>
        <item x="51"/>
        <item x="16"/>
        <item x="10"/>
        <item x="25"/>
        <item x="22"/>
        <item x="52"/>
        <item x="34"/>
        <item x="42"/>
        <item x="53"/>
        <item x="45"/>
        <item x="0"/>
        <item x="1"/>
        <item x="5"/>
        <item x="40"/>
        <item x="13"/>
        <item x="3"/>
        <item x="44"/>
        <item x="31"/>
        <item x="21"/>
        <item x="43"/>
        <item x="50"/>
        <item x="23"/>
        <item x="37"/>
        <item x="49"/>
        <item x="2"/>
        <item x="29"/>
        <item x="35"/>
        <item x="15"/>
        <item x="12"/>
        <item x="24"/>
        <item x="4"/>
        <item x="48"/>
        <item x="41"/>
        <item x="27"/>
        <item x="30"/>
        <item x="7"/>
        <item x="19"/>
        <item x="36"/>
        <item x="32"/>
        <item x="18"/>
        <item x="28"/>
      </items>
    </pivotField>
    <pivotField showAll="0" defaultSubtotal="0">
      <items count="15">
        <item x="0"/>
        <item x="1"/>
        <item x="2"/>
        <item x="3"/>
        <item x="13"/>
        <item x="14"/>
        <item x="4"/>
        <item x="11"/>
        <item x="9"/>
        <item x="5"/>
        <item x="12"/>
        <item x="8"/>
        <item x="7"/>
        <item x="6"/>
        <item x="10"/>
      </items>
    </pivotField>
    <pivotField showAll="0" defaultSubtotal="0"/>
    <pivotField dataField="1" showAll="0" defaultSubtotal="0"/>
    <pivotField showAll="0" defaultSubtotal="0"/>
    <pivotField dataField="1" showAll="0" defaultSubtotal="0"/>
    <pivotField axis="axisRow" showAll="0" defaultSubtotal="0">
      <items count="54">
        <item x="0"/>
        <item x="1"/>
        <item x="2"/>
        <item x="3"/>
        <item x="4"/>
        <item x="5"/>
        <item x="6"/>
        <item x="7"/>
        <item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</items>
    </pivotField>
  </pivotFields>
  <rowFields count="2">
    <field x="6"/>
    <field x="0"/>
  </rowFields>
  <rowItems count="20">
    <i>
      <x/>
    </i>
    <i r="1">
      <x v="23"/>
    </i>
    <i>
      <x v="1"/>
    </i>
    <i r="1">
      <x v="24"/>
    </i>
    <i>
      <x v="2"/>
    </i>
    <i r="1">
      <x v="37"/>
    </i>
    <i>
      <x v="3"/>
    </i>
    <i r="1">
      <x v="28"/>
    </i>
    <i>
      <x v="4"/>
    </i>
    <i r="1">
      <x v="43"/>
    </i>
    <i>
      <x v="5"/>
    </i>
    <i r="1">
      <x v="25"/>
    </i>
    <i>
      <x v="6"/>
    </i>
    <i r="1">
      <x v="5"/>
    </i>
    <i>
      <x v="7"/>
    </i>
    <i r="1">
      <x v="48"/>
    </i>
    <i>
      <x v="8"/>
    </i>
    <i r="1">
      <x v="8"/>
    </i>
    <i>
      <x v="9"/>
    </i>
    <i r="1">
      <x v="7"/>
    </i>
  </rowItems>
  <colFields count="1">
    <field x="-2"/>
  </colFields>
  <colItems count="2">
    <i>
      <x/>
    </i>
    <i i="1">
      <x v="1"/>
    </i>
  </colItems>
  <dataFields count="2">
    <dataField name="Delay cases  " fld="3" baseField="0" baseItem="48"/>
    <dataField name="Impact Share" fld="5" baseField="0" baseItem="48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5C3DC-79B0-4A41-8C6D-5DCFC52AAEC6}" name="PIVOT_Q3_Spend_area_duaration" cacheId="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Spend area Rank, Spend area Key" colHeaderCaption="Days Duaration">
  <location ref="L5:P27" firstHeaderRow="1" firstDataRow="3" firstDataCol="1" rowPageCount="1" colPageCount="1"/>
  <pivotFields count="10">
    <pivotField axis="axisPage" showAll="0" defaultSubtotal="0">
      <items count="3">
        <item x="1"/>
        <item x="2"/>
        <item x="0"/>
      </items>
    </pivotField>
    <pivotField axis="axisRow" showAll="0" defaultSubtotal="0">
      <items count="10">
        <item x="6"/>
        <item x="9"/>
        <item x="8"/>
        <item x="0"/>
        <item x="1"/>
        <item x="5"/>
        <item x="3"/>
        <item x="2"/>
        <item x="4"/>
        <item x="7"/>
      </items>
    </pivotField>
    <pivotField axis="axisRow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howAll="0" defaultSubtotal="0"/>
    <pivotField showAll="0" defaultSubtotal="0"/>
    <pivotField axis="axisCol" showAll="0" defaultSubtotal="0">
      <items count="2">
        <item x="0"/>
        <item x="1"/>
      </items>
    </pivotField>
    <pivotField showAll="0" defaultSubtotal="0"/>
    <pivotField dataField="1" showAll="0" defaultSubtotal="0"/>
    <pivotField showAll="0" defaultSubtotal="0"/>
    <pivotField dataField="1" subtotalTop="0" dragToRow="0" dragToCol="0" dragToPage="0" showAll="0" defaultSubtotal="0"/>
  </pivotFields>
  <rowFields count="2">
    <field x="2"/>
    <field x="1"/>
  </rowFields>
  <rowItems count="20">
    <i>
      <x/>
    </i>
    <i r="1">
      <x v="3"/>
    </i>
    <i>
      <x v="1"/>
    </i>
    <i r="1">
      <x v="4"/>
    </i>
    <i>
      <x v="2"/>
    </i>
    <i r="1">
      <x v="7"/>
    </i>
    <i>
      <x v="3"/>
    </i>
    <i r="1">
      <x v="6"/>
    </i>
    <i>
      <x v="4"/>
    </i>
    <i r="1">
      <x v="8"/>
    </i>
    <i>
      <x v="5"/>
    </i>
    <i r="1">
      <x v="5"/>
    </i>
    <i>
      <x v="6"/>
    </i>
    <i r="1">
      <x/>
    </i>
    <i>
      <x v="7"/>
    </i>
    <i r="1">
      <x v="9"/>
    </i>
    <i>
      <x v="8"/>
    </i>
    <i r="1">
      <x v="2"/>
    </i>
    <i>
      <x v="9"/>
    </i>
    <i r="1">
      <x v="1"/>
    </i>
  </rowItems>
  <colFields count="2">
    <field x="5"/>
    <field x="-2"/>
  </colFields>
  <colItems count="4">
    <i>
      <x/>
      <x/>
    </i>
    <i r="1" i="1">
      <x v="1"/>
    </i>
    <i>
      <x v="1"/>
      <x/>
    </i>
    <i r="1" i="1">
      <x v="1"/>
    </i>
  </colItems>
  <pageFields count="1">
    <pageField fld="0" item="1" hier="-1"/>
  </pageFields>
  <dataFields count="2">
    <dataField name="Sum of Median" fld="7" baseField="0" baseItem="0"/>
    <dataField name="Median duration of on-time cases" fld="9" baseField="2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56DC9-6E9F-49EC-A5DB-09BA130CED48}" name="PIVOT_Q3_Spend_area_bottleneck" cacheId="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 rowHeaderCaption="Spend area rank, Spend area key">
  <location ref="J5:K25" firstHeaderRow="1" firstDataRow="1" firstDataCol="1" rowPageCount="1" colPageCount="1"/>
  <pivotFields count="7">
    <pivotField axis="axisPage" showAll="0" defaultSubtotal="0">
      <items count="3">
        <item x="1"/>
        <item x="2"/>
        <item x="0"/>
      </items>
    </pivotField>
    <pivotField axis="axisRow" showAll="0" defaultSubtotal="0">
      <items count="10">
        <item x="6"/>
        <item x="9"/>
        <item x="8"/>
        <item x="0"/>
        <item x="1"/>
        <item x="5"/>
        <item x="3"/>
        <item x="2"/>
        <item x="4"/>
        <item x="7"/>
      </items>
    </pivotField>
    <pivotField axis="axisRow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howAll="0" defaultSubtotal="0"/>
    <pivotField showAll="0" defaultSubtotal="0"/>
    <pivotField showAll="0" defaultSubtotal="0"/>
    <pivotField dataField="1" showAll="0" defaultSubtotal="0"/>
  </pivotFields>
  <rowFields count="2">
    <field x="2"/>
    <field x="1"/>
  </rowFields>
  <rowItems count="20">
    <i>
      <x/>
    </i>
    <i r="1">
      <x v="3"/>
    </i>
    <i>
      <x v="1"/>
    </i>
    <i r="1">
      <x v="4"/>
    </i>
    <i>
      <x v="2"/>
    </i>
    <i r="1">
      <x v="7"/>
    </i>
    <i>
      <x v="3"/>
    </i>
    <i r="1">
      <x v="6"/>
    </i>
    <i>
      <x v="4"/>
    </i>
    <i r="1">
      <x v="8"/>
    </i>
    <i>
      <x v="5"/>
    </i>
    <i r="1">
      <x v="5"/>
    </i>
    <i>
      <x v="6"/>
    </i>
    <i r="1">
      <x/>
    </i>
    <i>
      <x v="7"/>
    </i>
    <i r="1">
      <x v="9"/>
    </i>
    <i>
      <x v="8"/>
    </i>
    <i r="1">
      <x v="2"/>
    </i>
    <i>
      <x v="9"/>
    </i>
    <i r="1">
      <x v="1"/>
    </i>
  </rowItems>
  <colItems count="1">
    <i/>
  </colItems>
  <pageFields count="1">
    <pageField fld="0" item="1" hier="-1"/>
  </pageFields>
  <dataFields count="1">
    <dataField name="Contribution to Delay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62D13-000F-473F-AB92-DC68B04FC894}" name="PIVOT_Q3_Company_ranking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ompany Key">
  <location ref="I3:L6" firstHeaderRow="0" firstDataRow="1" firstDataCol="1"/>
  <pivotFields count="6">
    <pivotField axis="axisRow" showAll="0" sortType="descending">
      <items count="3">
        <item x="0"/>
        <item x="1"/>
        <item t="default"/>
      </items>
    </pivotField>
    <pivotField dataField="1" showAll="0"/>
    <pivotField dataField="1" showAll="0"/>
    <pivotField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cases  " fld="1" baseField="0" baseItem="0"/>
    <dataField name="Delay_cases  " fld="2" baseField="0" baseItem="0"/>
    <dataField name="Impact_Share   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FE2588C-5D9D-4B33-9DD5-D0B4235D997D}" autoFormatId="16" applyNumberFormats="0" applyBorderFormats="0" applyFontFormats="0" applyPatternFormats="0" applyAlignmentFormats="0" applyWidthHeightFormats="0">
  <queryTableRefresh nextId="6">
    <queryTableFields count="5">
      <queryTableField id="1" name="Time_Period" tableColumnId="1"/>
      <queryTableField id="2" name="Cases_Status" tableColumnId="2"/>
      <queryTableField id="3" name="Risk_Status" tableColumnId="3"/>
      <queryTableField id="4" name="Amount" tableColumnId="4"/>
      <queryTableField id="5" name="Ratio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914AB0A-1EB7-4E51-8622-541E4737A6DB}" autoFormatId="16" applyNumberFormats="0" applyBorderFormats="0" applyFontFormats="0" applyPatternFormats="0" applyAlignmentFormats="0" applyWidthHeightFormats="0">
  <queryTableRefresh nextId="9" unboundColumnsRight="1">
    <queryTableFields count="5">
      <queryTableField id="7" name="Month" tableColumnId="1"/>
      <queryTableField id="2" name="Cases_Status" tableColumnId="2"/>
      <queryTableField id="3" name="Risk_Status" tableColumnId="3"/>
      <queryTableField id="4" name="Amount" tableColumnId="4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9DF6023-0477-4BAF-8E81-BA2371D33038}" autoFormatId="16" applyNumberFormats="0" applyBorderFormats="0" applyFontFormats="0" applyPatternFormats="0" applyAlignmentFormats="0" applyWidthHeightFormats="0">
  <queryTableRefresh nextId="6">
    <queryTableFields count="5">
      <queryTableField id="1" name="Time_Period" tableColumnId="1"/>
      <queryTableField id="2" name="Cases_Status" tableColumnId="2"/>
      <queryTableField id="3" name="Risk_Status" tableColumnId="3"/>
      <queryTableField id="4" name="Amount" tableColumnId="4"/>
      <queryTableField id="5" name="Ratio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217F10-9B72-4432-A651-30AB4EB9AF9B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7" name="Year" tableColumnId="7"/>
      <queryTableField id="1" name="Week" tableColumnId="1"/>
      <queryTableField id="2" name="Cases_Status" tableColumnId="2"/>
      <queryTableField id="3" name="Risk_Status" tableColumnId="3"/>
      <queryTableField id="4" name="Amount" tableColumnId="4"/>
      <queryTableField id="5" name="Ratio" tableColumnId="5"/>
      <queryTableField id="6" dataBound="0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F7CF78-997E-4767-9809-34FFB953C198}" name="RAW_Q1_Overview" displayName="RAW_Q1_Overview" ref="A3:F13" totalsRowShown="0" headerRowDxfId="63" dataDxfId="62">
  <autoFilter ref="A3:F13" xr:uid="{A3F7CF78-997E-4767-9809-34FFB953C198}"/>
  <tableColumns count="6">
    <tableColumn id="1" xr3:uid="{CD0BF754-2E9D-448E-8D68-8EF70C6F2F22}" name="Duration_Type" dataDxfId="61"/>
    <tableColumn id="2" xr3:uid="{C366DC00-1CDB-4090-9B8E-4568583379C2}" name="Distribution_Buckets" dataDxfId="60"/>
    <tableColumn id="3" xr3:uid="{252F618A-CB85-4CC4-9682-8530A271B784}" name="Risk_Status" dataDxfId="59"/>
    <tableColumn id="4" xr3:uid="{3D404A70-1450-4737-A0F0-2E8A74401ADF}" name="Amount" dataDxfId="58"/>
    <tableColumn id="5" xr3:uid="{207E3632-196C-4A79-8244-A6D572E42E81}" name="Ratio" dataDxfId="57"/>
    <tableColumn id="6" xr3:uid="{A6C677C4-71E0-486B-A6E9-5334DA235E81}" name="Case Status" dataDxfId="56">
      <calculatedColumnFormula>IF(RAW_Q1_Overview[[#This Row],[Duration_Type]]="Lead Time","Closed Cases","Open Cases")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7B5ADF2-3FEE-484A-8962-98A6492DDC36}" name="Monthly_Lead_Time_1" displayName="Monthly_Lead_Time_1" ref="A1:E35" tableType="queryTable" totalsRowShown="0">
  <autoFilter ref="A1:E35" xr:uid="{17B5ADF2-3FEE-484A-8962-98A6492DDC36}"/>
  <tableColumns count="5">
    <tableColumn id="1" xr3:uid="{A40F93F3-454A-4941-BF53-124AFF03C340}" uniqueName="1" name="Time_Period" queryTableFieldId="1" dataDxfId="55"/>
    <tableColumn id="2" xr3:uid="{EA92A24D-068D-4F72-BFAF-E2CFE4EEC017}" uniqueName="2" name="Cases_Status" queryTableFieldId="2" dataDxfId="54"/>
    <tableColumn id="3" xr3:uid="{BD5F34B3-D4BA-450B-A859-67B1D7F2724E}" uniqueName="3" name="Risk_Status" queryTableFieldId="3" dataDxfId="53"/>
    <tableColumn id="4" xr3:uid="{9186CA4E-409E-4DBB-ADA5-8DFA8AC90684}" uniqueName="4" name="Amount" queryTableFieldId="4"/>
    <tableColumn id="5" xr3:uid="{FD0381C7-BF7E-4B84-9812-E6BA88DE5D84}" uniqueName="5" name="Ratio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8A1B9D5-7500-4AC9-A9D4-795937D7CA48}" name="WORK_Q1_Monthly_Trend" displayName="WORK_Q1_Monthly_Trend" ref="A3:E52" tableType="queryTable" totalsRowShown="0">
  <autoFilter ref="A3:E52" xr:uid="{38A1B9D5-7500-4AC9-A9D4-795937D7CA48}"/>
  <tableColumns count="5">
    <tableColumn id="1" xr3:uid="{A2FFBF7D-7B1F-434C-90C2-B60A9EB18C98}" uniqueName="1" name="Month" queryTableFieldId="7" dataDxfId="50"/>
    <tableColumn id="2" xr3:uid="{2AB95611-71DD-4F46-802F-71D74F0B0D5F}" uniqueName="2" name="Cases_Status" queryTableFieldId="2" dataDxfId="49"/>
    <tableColumn id="3" xr3:uid="{8E9AB230-3593-48E4-850D-8B7C194CE216}" uniqueName="3" name="Risk_Status" queryTableFieldId="3" dataDxfId="48"/>
    <tableColumn id="4" xr3:uid="{5A098CA4-8BDC-4D76-9970-64E9A3727CAF}" uniqueName="4" name="Amount" queryTableFieldId="4"/>
    <tableColumn id="6" xr3:uid="{48037D3D-B26C-42D7-9A02-51C01E1B8B3E}" uniqueName="6" name="Ratio Within Month" queryTableFieldId="6" dataDxfId="47">
      <calculatedColumnFormula>(WORK_Q1_Monthly_Trend[[#This Row],[Amount]]*100)/SUMIFS(WORK_Q1_Monthly_Trend[Amount],WORK_Q1_Monthly_Trend[Month],WORK_Q1_Monthly_Trend[[#This Row],[Month]])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EC4FD9-2A1E-46A9-8907-A4A1A7FD81DA}" name="Monthly_Age_days" displayName="Monthly_Age_days" ref="A39:E54" totalsRowShown="0">
  <autoFilter ref="A39:E54" xr:uid="{49EC4FD9-2A1E-46A9-8907-A4A1A7FD81DA}"/>
  <tableColumns count="5">
    <tableColumn id="1" xr3:uid="{7B5C4C43-8BC5-4E82-BBD0-CAF809B1F90A}" name="Time_Period"/>
    <tableColumn id="2" xr3:uid="{BEA039FC-E4A6-4315-915C-45AA96F8F983}" name="Cases_Status"/>
    <tableColumn id="3" xr3:uid="{ABA47BA9-DFF3-4A4A-ADC9-F41CF1037891}" name="Risk_Status"/>
    <tableColumn id="4" xr3:uid="{F9B21E29-2383-4C8D-A5DC-3B346C52AAB9}" name="Amount"/>
    <tableColumn id="5" xr3:uid="{4C804531-6A71-472C-B72F-40CB21E206E8}" name="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720ED6-3F5C-4450-9336-C073DEEFD323}" name="Monthly_Lead_Time" displayName="Monthly_Lead_Time" ref="A3:E37" totalsRowShown="0">
  <autoFilter ref="A3:E37" xr:uid="{84720ED6-3F5C-4450-9336-C073DEEFD323}"/>
  <tableColumns count="5">
    <tableColumn id="1" xr3:uid="{0D3904B1-99BE-4919-A26B-59ECB1640AEE}" name="Time_Period"/>
    <tableColumn id="2" xr3:uid="{C95E93B0-E4C6-4FDA-9060-3B31AD35CB63}" name="Cases_Status"/>
    <tableColumn id="3" xr3:uid="{B807AAE8-C733-4626-86C1-C69C36F72CB8}" name="Risk_Status"/>
    <tableColumn id="4" xr3:uid="{A09AAF41-F98C-4FB4-BBE8-0EA9B77B4640}" name="Amount"/>
    <tableColumn id="5" xr3:uid="{17702FC2-1467-451A-9038-2C6085D99336}" name="Rat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C393D4-E69B-4BA0-B15C-24126E161360}" name="Weekly_Lead_Time_1" displayName="Weekly_Lead_Time_1" ref="A1:E19" tableType="queryTable" totalsRowShown="0">
  <autoFilter ref="A1:E19" xr:uid="{54C393D4-E69B-4BA0-B15C-24126E161360}"/>
  <tableColumns count="5">
    <tableColumn id="1" xr3:uid="{2341E1E8-41FC-461B-9B92-2FD474903031}" uniqueName="1" name="Time_Period" queryTableFieldId="1" dataDxfId="46"/>
    <tableColumn id="2" xr3:uid="{1E24FDBF-C56C-482E-AB37-70986DE62EF4}" uniqueName="2" name="Cases_Status" queryTableFieldId="2" dataDxfId="45"/>
    <tableColumn id="3" xr3:uid="{B8644482-4A2A-4A1B-BEC7-4E673316A59C}" uniqueName="3" name="Risk_Status" queryTableFieldId="3" dataDxfId="44"/>
    <tableColumn id="4" xr3:uid="{50824F49-7BD6-45C6-8A28-1B39739C0787}" uniqueName="4" name="Amount" queryTableFieldId="4"/>
    <tableColumn id="5" xr3:uid="{0E55EAA2-7DB8-4D39-847F-13806918DA84}" uniqueName="5" name="Ratio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41DFD54-5861-4254-AF2B-E4F245A3EAF1}" name="WORK_Q1_Weekly_Trend" displayName="WORK_Q1_Weekly_Trend" ref="A3:G37" tableType="queryTable" totalsRowShown="0">
  <autoFilter ref="A3:G37" xr:uid="{741DFD54-5861-4254-AF2B-E4F245A3EAF1}"/>
  <tableColumns count="7">
    <tableColumn id="7" xr3:uid="{840795D9-EF66-43DF-A01D-A81CAF2033BC}" uniqueName="7" name="Year" queryTableFieldId="7"/>
    <tableColumn id="1" xr3:uid="{B3DD0FCC-27F6-4FC0-A841-1D3615D3265F}" uniqueName="1" name="Week" queryTableFieldId="1" dataDxfId="43"/>
    <tableColumn id="2" xr3:uid="{724654B5-AF9E-4543-8EF8-80E9FD47ACA4}" uniqueName="2" name="Cases_Status" queryTableFieldId="2" dataDxfId="42"/>
    <tableColumn id="3" xr3:uid="{DE5F0CC8-F50A-4FE9-87AD-52AEB1353303}" uniqueName="3" name="Risk_Status" queryTableFieldId="3" dataDxfId="41"/>
    <tableColumn id="4" xr3:uid="{EF846867-F4EF-45A9-9902-1367088E13E6}" uniqueName="4" name="Amount" queryTableFieldId="4"/>
    <tableColumn id="5" xr3:uid="{FD837CB6-60BB-4189-90BF-4A74490F35DA}" uniqueName="5" name="Ratio" queryTableFieldId="5" dataDxfId="40"/>
    <tableColumn id="6" xr3:uid="{B46EFF50-3B9B-476F-932B-ABC37678D68E}" uniqueName="6" name="Ratio Within Week" queryTableFieldId="6" dataDxfId="39">
      <calculatedColumnFormula>(WORK_Q1_Weekly_Trend[[#This Row],[Amount]]*100)/SUMIFS(WORK_Q1_Weekly_Trend[Amount],WORK_Q1_Weekly_Trend[Week],WORK_Q1_Weekly_Trend[[#This Row],[Week]])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3AD154-3A87-4A53-9351-D2A3435C565B}" name="Weekly_Lead_Time" displayName="Weekly_Lead_Time" ref="A3:E21" totalsRowShown="0">
  <autoFilter ref="A3:E21" xr:uid="{D93AD154-3A87-4A53-9351-D2A3435C565B}"/>
  <tableColumns count="5">
    <tableColumn id="1" xr3:uid="{0AD43F0C-AD47-4A0E-804A-F1450A012DEC}" name="Time_Period"/>
    <tableColumn id="2" xr3:uid="{2AC2E337-3067-4F19-941B-676C92251DE5}" name="Cases_Status"/>
    <tableColumn id="3" xr3:uid="{910637A7-2A11-47D5-8CB7-82901D98A972}" name="Risk_Status"/>
    <tableColumn id="4" xr3:uid="{F8735DD8-D286-4392-A669-888723E55EAA}" name="Amount"/>
    <tableColumn id="5" xr3:uid="{3E5F90AB-9FDA-487C-AF4E-65D0EBAE7D55}" name="Rati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C513A4-4C17-4177-94C2-F5413440E0DD}" name="Weekly_Age_days" displayName="Weekly_Age_days" ref="A24:E40" totalsRowShown="0">
  <autoFilter ref="A24:E40" xr:uid="{EEC513A4-4C17-4177-94C2-F5413440E0DD}"/>
  <tableColumns count="5">
    <tableColumn id="1" xr3:uid="{7CB56102-5076-4FD8-89F6-F0AF6E61AE89}" name="Time_Period"/>
    <tableColumn id="2" xr3:uid="{FA8DA1E8-5C24-4E4C-9507-78FAD8132342}" name="Cases_Status"/>
    <tableColumn id="3" xr3:uid="{49CD008B-B50C-4741-A672-6428DBAB3E87}" name="Risk_Status"/>
    <tableColumn id="4" xr3:uid="{C0BAEFF9-1057-44FA-8065-F03EF3286BA0}" name="Amount"/>
    <tableColumn id="5" xr3:uid="{00B08A83-631B-4EEF-B745-BF49AD6247AD}" name="Rati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D6165-28D7-4949-B048-53E1EE0BDC26}" name="WORK_Q2_Stage_Duaration" displayName="WORK_Q2_Stage_Duaration" ref="F3:I12" totalsRowShown="0">
  <autoFilter ref="F3:I12" xr:uid="{029D6165-28D7-4949-B048-53E1EE0BDC26}"/>
  <tableColumns count="4">
    <tableColumn id="1" xr3:uid="{05634CBC-4CEF-4F41-9817-84D97D978830}" name="Cases Type"/>
    <tableColumn id="2" xr3:uid="{A4AFC333-7AE1-4982-B5A5-854812FC0863}" name="Stage"/>
    <tableColumn id="3" xr3:uid="{457EE26C-2D5E-4016-A49A-1B2B80DAF874}" name="Median "/>
    <tableColumn id="4" xr3:uid="{2BEA8308-70B7-455F-B8D8-FB23FD851615}" name="P9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510E3B4-72DD-4695-8941-460450550862}" name="Table18" displayName="Table18" ref="A3:C9" totalsRowShown="0">
  <autoFilter ref="A3:C9" xr:uid="{C510E3B4-72DD-4695-8941-460450550862}"/>
  <tableColumns count="3">
    <tableColumn id="1" xr3:uid="{DB60A141-2950-40F4-9881-437354CFCE08}" name="Primary_Issue"/>
    <tableColumn id="2" xr3:uid="{0558FA3E-E37D-4ED1-9842-BD2FC1E700A3}" name="Case Number"/>
    <tableColumn id="3" xr3:uid="{834C0F2B-68D5-47AC-9F14-15189DC7C48B}" name="Rati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88BB32-1732-4B57-99AC-BD5FB880F6FA}" name="WORK_Q2_Bottleneck" displayName="WORK_Q2_Bottleneck" ref="E3:G12" totalsRowShown="0">
  <autoFilter ref="E3:G12" xr:uid="{AF88BB32-1732-4B57-99AC-BD5FB880F6FA}"/>
  <tableColumns count="3">
    <tableColumn id="1" xr3:uid="{5866D4AA-5CCB-40C1-BF98-FC439AB9163B}" name="Cases Type"/>
    <tableColumn id="2" xr3:uid="{552C7B18-D202-4A8E-8B47-C455822672C3}" name="Stage"/>
    <tableColumn id="3" xr3:uid="{C53550D1-87BC-48AD-A0BF-3E079D141C47}" name="Median " dataDxfId="3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F330FA-B648-422E-B0BA-DABD864FF83E}" name="RAW_SQL_Q3_Vendor" displayName="RAW_SQL_Q3_Vendor" ref="A3:F137" totalsRowShown="0">
  <autoFilter ref="A3:F137" xr:uid="{80F330FA-B648-422E-B0BA-DABD864FF83E}"/>
  <tableColumns count="6">
    <tableColumn id="1" xr3:uid="{15ACB277-056C-4331-8708-205F24531D4A}" name="Vendor_key"/>
    <tableColumn id="2" xr3:uid="{73CAB498-DD71-43F8-9030-71ADC3916F65}" name="Total_cases"/>
    <tableColumn id="3" xr3:uid="{3DB99351-A3D2-4962-8C48-BFB08BD55460}" name="Delay_cases"/>
    <tableColumn id="4" xr3:uid="{96B49466-0AB9-4C10-8976-082A4EF06DBF}" name="Delayed_Rate"/>
    <tableColumn id="5" xr3:uid="{A8649A1E-7E7D-4F5A-858A-8CD67F7D7D8D}" name="Impact_Share"/>
    <tableColumn id="6" xr3:uid="{B29D8673-0D20-4576-8C2F-4E7FF95895D4}" name="Vendor_Ran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46893DF-7134-434D-95F4-1C73DBF7C130}" name="RAW_SQL_Q3_Vendor_duaration" displayName="RAW_SQL_Q3_Vendor_duaration" ref="A3:G89" totalsRowShown="0">
  <autoFilter ref="A3:G89" xr:uid="{A46893DF-7134-434D-95F4-1C73DBF7C130}"/>
  <tableColumns count="7">
    <tableColumn id="1" xr3:uid="{08F7540E-0746-4810-90B1-FBCDBD2D60CD}" name="Stage"/>
    <tableColumn id="2" xr3:uid="{8A0FD00C-7F71-42C5-8F88-7AA54FF65B53}" name="Vendor_key"/>
    <tableColumn id="3" xr3:uid="{710F55B9-5B77-474F-BC1C-828E5C299593}" name="Vendor_Rank"/>
    <tableColumn id="7" xr3:uid="{16669AB2-AEF6-45E2-A42A-D294F4650D8D}" name="Delay_flag"/>
    <tableColumn id="4" xr3:uid="{3628449B-B289-466E-A4ED-6B2C976055DF}" name="Cases_Number"/>
    <tableColumn id="5" xr3:uid="{41D0ADF0-6226-4005-854A-74E48FDBACE8}" name="Median"/>
    <tableColumn id="6" xr3:uid="{B328365C-8237-4EBF-ACDE-1C2FF72E3BC9}" name="P9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47D5140-D8EA-42AD-851F-78D19CA72F30}" name="RAW_SQL_Q3_Vendor_bottleneck" displayName="RAW_SQL_Q3_Vendor_bottleneck" ref="A3:E48" totalsRowShown="0">
  <autoFilter ref="A3:E48" xr:uid="{347D5140-D8EA-42AD-851F-78D19CA72F30}"/>
  <tableColumns count="5">
    <tableColumn id="1" xr3:uid="{5862573D-FAB1-4C0E-9846-656D4BF6A851}" name="Stage"/>
    <tableColumn id="2" xr3:uid="{61F12186-B691-4809-B022-E3EAA4135845}" name="Vendor_key"/>
    <tableColumn id="3" xr3:uid="{5A3217B6-E662-4EF2-A735-F55F4819CC5E}" name="Vendor_Rank"/>
    <tableColumn id="4" xr3:uid="{D15A2970-5AB9-4749-BDBA-6D372BC651E6}" name="Cases_Number"/>
    <tableColumn id="5" xr3:uid="{E9775A53-BF42-4FF7-B9FD-298DDA5DD837}" name="Median_Bottlenec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35A7942-3FD9-4C47-8057-5847E5ECD519}" name="RAW_SQL_Q3_Spend_area" displayName="RAW_SQL_Q3_Spend_area" ref="A3:G57" totalsRowShown="0">
  <autoFilter ref="A3:G57" xr:uid="{835A7942-3FD9-4C47-8057-5847E5ECD519}"/>
  <tableColumns count="7">
    <tableColumn id="1" xr3:uid="{EC521741-244B-4E1E-A2AF-EBCE75C5227D}" name="Spend_Area_key"/>
    <tableColumn id="2" xr3:uid="{4FDCFB47-AFF2-4EF5-9C53-4D6177EC0245}" name="Spend_area_sub"/>
    <tableColumn id="3" xr3:uid="{EC1F8F90-383C-42FE-8484-C5D3D223419A}" name="Total_cases"/>
    <tableColumn id="4" xr3:uid="{F30AC352-BBE7-4273-BDBD-B683A92311A2}" name="Delay_cases"/>
    <tableColumn id="5" xr3:uid="{6CFB51F1-378E-4491-92A3-3B2AD7A5F939}" name="Delayed_Rate"/>
    <tableColumn id="6" xr3:uid="{8981EEBF-B158-485D-9E4B-42F762C5E5CC}" name="Impact_Share"/>
    <tableColumn id="7" xr3:uid="{5DC4FA95-150E-46D7-9A4F-A562B4B3E490}" name="Spend_Area_Rank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62441CE-3281-46D7-AE79-701A1009B254}" name="RAW_SQL_Q3_Spend_area_duaration" displayName="RAW_SQL_Q3_Spend_area_duaration" ref="A3:I63" totalsRowShown="0">
  <autoFilter ref="A3:I63" xr:uid="{062441CE-3281-46D7-AE79-701A1009B254}"/>
  <tableColumns count="9">
    <tableColumn id="1" xr3:uid="{02BB0773-0A1F-4EA8-BC33-ED87E3E9EA0D}" name="Stage"/>
    <tableColumn id="2" xr3:uid="{20E77B7E-114B-4650-9EBB-7CEA3F906378}" name="Spend_Area_key"/>
    <tableColumn id="3" xr3:uid="{BF55592A-8DA9-4F78-BDAD-3CAA9572E822}" name="Spend_Area_Rank"/>
    <tableColumn id="4" xr3:uid="{A4550C72-5C95-4F33-9FD0-DB88B57DC7F2}" name="Spend_area_sub"/>
    <tableColumn id="5" xr3:uid="{B2676099-D1BE-4520-AD7A-A53D0C906517}" name="Spend_class"/>
    <tableColumn id="6" xr3:uid="{C163A230-0E20-479D-BB09-AB5829385D57}" name="Delay_flag"/>
    <tableColumn id="7" xr3:uid="{38D625C5-B41E-4607-AF36-656402A4832B}" name="Cases_Number"/>
    <tableColumn id="8" xr3:uid="{E30B7B19-321C-4095-8863-87D7BEB505DD}" name="Median"/>
    <tableColumn id="9" xr3:uid="{A658A66D-249B-4331-ABA9-DC63553E1316}" name="P9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F361C48-4D97-4099-B6ED-C880DE4B481D}" name="RAW_SQL_Q3_Spend_area_bottleneck" displayName="RAW_SQL_Q3_Spend_area_bottleneck" ref="A3:G33" totalsRowShown="0">
  <autoFilter ref="A3:G33" xr:uid="{EF361C48-4D97-4099-B6ED-C880DE4B481D}"/>
  <tableColumns count="7">
    <tableColumn id="1" xr3:uid="{6F3478C8-60F6-499F-9C73-6C690AE4642D}" name="Stage"/>
    <tableColumn id="2" xr3:uid="{F5067DE2-3AFF-4D4C-9147-4F495EF534A4}" name="Spend_Area_key"/>
    <tableColumn id="3" xr3:uid="{D89BCEE6-DCDA-4C20-B684-1BA71CBD4A76}" name="Spend_Area_Rank"/>
    <tableColumn id="4" xr3:uid="{2240FC85-803F-48C6-8015-058C5B7B8441}" name="Spend_area_sub"/>
    <tableColumn id="5" xr3:uid="{045D10CE-9403-4495-BC20-01E3679A472B}" name="Spend_class"/>
    <tableColumn id="6" xr3:uid="{F7392C09-EC83-4259-BDDD-5D0FC5DD9FE4}" name="Cases_Number"/>
    <tableColumn id="7" xr3:uid="{605DA607-EB1B-4ECA-B095-69DF0D8B5B05}" name="Median_Bottleneck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CF3C89B-2A47-41AF-873E-6DAF80EDEFF2}" name="RAW_SQL_Q3_Company" displayName="RAW_SQL_Q3_Company" ref="A3:F5" totalsRowShown="0">
  <autoFilter ref="A3:F5" xr:uid="{1CF3C89B-2A47-41AF-873E-6DAF80EDEFF2}"/>
  <tableColumns count="6">
    <tableColumn id="1" xr3:uid="{A1BB4E53-65E0-437C-9C2D-A23B27502452}" name="Company_key"/>
    <tableColumn id="2" xr3:uid="{0794B5D0-A708-4BCF-B1AF-D1EF8E0B11F3}" name="Total_cases"/>
    <tableColumn id="3" xr3:uid="{23673FE2-3E77-47A6-B119-3019970D338C}" name="Delay_cases"/>
    <tableColumn id="4" xr3:uid="{D9572235-21B5-44D2-8D05-5CCA4D958982}" name="Delayed_Rate"/>
    <tableColumn id="5" xr3:uid="{D95E0713-C8C6-4FCF-8CDB-77E5CC2F9122}" name="Impact_Share"/>
    <tableColumn id="6" xr3:uid="{F70FD39E-049A-4889-AC5F-AE1146FA8FBD}" name="Company_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rojectPortfol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3366"/>
      </a:accent1>
      <a:accent2>
        <a:srgbClr val="FFA726"/>
      </a:accent2>
      <a:accent3>
        <a:srgbClr val="A5A5A5"/>
      </a:accent3>
      <a:accent4>
        <a:srgbClr val="FFC000"/>
      </a:accent4>
      <a:accent5>
        <a:srgbClr val="29B6F6"/>
      </a:accent5>
      <a:accent6>
        <a:srgbClr val="7CFF4F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BF4A-585B-4BED-AC26-1B78362288DF}">
  <sheetPr>
    <tabColor theme="4"/>
  </sheetPr>
  <dimension ref="B2:O14"/>
  <sheetViews>
    <sheetView showGridLines="0" tabSelected="1" zoomScale="70" zoomScaleNormal="70" workbookViewId="0">
      <selection activeCell="T19" sqref="T19"/>
    </sheetView>
  </sheetViews>
  <sheetFormatPr defaultRowHeight="14.4" x14ac:dyDescent="0.3"/>
  <cols>
    <col min="2" max="2" width="19.5546875" bestFit="1" customWidth="1"/>
    <col min="3" max="3" width="19.88671875" bestFit="1" customWidth="1"/>
    <col min="4" max="4" width="11.109375" bestFit="1" customWidth="1"/>
    <col min="5" max="5" width="8.21875" bestFit="1" customWidth="1"/>
    <col min="6" max="6" width="6.109375" bestFit="1" customWidth="1"/>
    <col min="7" max="7" width="18.77734375" bestFit="1" customWidth="1"/>
    <col min="11" max="11" width="19.109375" bestFit="1" customWidth="1"/>
    <col min="12" max="12" width="13.109375" bestFit="1" customWidth="1"/>
    <col min="13" max="13" width="8.6640625" bestFit="1" customWidth="1"/>
    <col min="14" max="14" width="13.109375" bestFit="1" customWidth="1"/>
    <col min="15" max="15" width="8.6640625" bestFit="1" customWidth="1"/>
    <col min="25" max="25" width="12" customWidth="1"/>
    <col min="26" max="26" width="10.21875" bestFit="1" customWidth="1"/>
  </cols>
  <sheetData>
    <row r="2" spans="2:15" ht="18" x14ac:dyDescent="0.35">
      <c r="B2" s="75" t="s">
        <v>205</v>
      </c>
    </row>
    <row r="3" spans="2:15" ht="15.6" x14ac:dyDescent="0.3">
      <c r="B3" s="84" t="s">
        <v>206</v>
      </c>
    </row>
    <row r="4" spans="2:15" ht="15.6" x14ac:dyDescent="0.3">
      <c r="B4" s="84" t="s">
        <v>207</v>
      </c>
    </row>
    <row r="7" spans="2:15" x14ac:dyDescent="0.3">
      <c r="K7" s="78" t="s">
        <v>135</v>
      </c>
      <c r="L7" s="80" t="s">
        <v>106</v>
      </c>
      <c r="M7" s="81"/>
      <c r="N7" s="76" t="s">
        <v>105</v>
      </c>
      <c r="O7" s="77"/>
    </row>
    <row r="8" spans="2:15" ht="15" thickBot="1" x14ac:dyDescent="0.35">
      <c r="K8" s="79"/>
      <c r="L8" s="35" t="s">
        <v>103</v>
      </c>
      <c r="M8" s="36" t="s">
        <v>130</v>
      </c>
      <c r="N8" s="29" t="s">
        <v>103</v>
      </c>
      <c r="O8" s="26" t="s">
        <v>130</v>
      </c>
    </row>
    <row r="9" spans="2:15" ht="15" thickTop="1" x14ac:dyDescent="0.3">
      <c r="K9" s="43">
        <v>75</v>
      </c>
      <c r="L9" s="31">
        <v>28309</v>
      </c>
      <c r="M9" s="32">
        <v>52.71</v>
      </c>
      <c r="N9" s="30">
        <v>43900</v>
      </c>
      <c r="O9" s="25">
        <v>51.14</v>
      </c>
    </row>
    <row r="10" spans="2:15" x14ac:dyDescent="0.3">
      <c r="K10" s="24">
        <v>90</v>
      </c>
      <c r="L10" s="27">
        <v>5486</v>
      </c>
      <c r="M10" s="11">
        <v>10.220000000000001</v>
      </c>
      <c r="N10" s="27">
        <v>13021</v>
      </c>
      <c r="O10" s="11">
        <v>15.17</v>
      </c>
    </row>
    <row r="11" spans="2:15" x14ac:dyDescent="0.3">
      <c r="K11" s="44">
        <v>120</v>
      </c>
      <c r="L11" s="33">
        <v>8374</v>
      </c>
      <c r="M11" s="34">
        <v>15.59</v>
      </c>
      <c r="N11" s="28">
        <v>20304</v>
      </c>
      <c r="O11" s="7">
        <v>23.65</v>
      </c>
    </row>
    <row r="12" spans="2:15" x14ac:dyDescent="0.3">
      <c r="K12" s="24">
        <v>150</v>
      </c>
      <c r="L12" s="27">
        <v>4111</v>
      </c>
      <c r="M12" s="11">
        <v>7.65</v>
      </c>
      <c r="N12" s="27">
        <v>7377</v>
      </c>
      <c r="O12" s="11">
        <v>8.59</v>
      </c>
    </row>
    <row r="13" spans="2:15" ht="15" thickBot="1" x14ac:dyDescent="0.35">
      <c r="K13" s="45" t="s">
        <v>10</v>
      </c>
      <c r="L13" s="41">
        <v>7424</v>
      </c>
      <c r="M13" s="42">
        <v>13.82</v>
      </c>
      <c r="N13" s="39">
        <v>1243</v>
      </c>
      <c r="O13" s="40">
        <v>1.45</v>
      </c>
    </row>
    <row r="14" spans="2:15" ht="15" thickBot="1" x14ac:dyDescent="0.35">
      <c r="K14" s="37" t="s">
        <v>136</v>
      </c>
      <c r="L14" s="38">
        <f>SUM(L9:L13)</f>
        <v>53704</v>
      </c>
      <c r="M14" s="46">
        <v>100</v>
      </c>
      <c r="N14" s="38">
        <f>SUM(N9:N13)</f>
        <v>85845</v>
      </c>
      <c r="O14" s="46">
        <v>100</v>
      </c>
    </row>
  </sheetData>
  <mergeCells count="3">
    <mergeCell ref="K7:K8"/>
    <mergeCell ref="L7:M7"/>
    <mergeCell ref="N7:O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4450-76F1-4C1B-94E4-7CCC353561B2}">
  <dimension ref="A1:R30"/>
  <sheetViews>
    <sheetView zoomScale="70" zoomScaleNormal="70" workbookViewId="0">
      <selection activeCell="K35" sqref="K35"/>
    </sheetView>
  </sheetViews>
  <sheetFormatPr defaultRowHeight="14.4" x14ac:dyDescent="0.3"/>
  <cols>
    <col min="1" max="1" width="17.21875" customWidth="1"/>
    <col min="2" max="2" width="25.6640625" bestFit="1" customWidth="1"/>
    <col min="3" max="3" width="17.109375" bestFit="1" customWidth="1"/>
    <col min="4" max="4" width="14.5546875" bestFit="1" customWidth="1"/>
    <col min="5" max="5" width="11.88671875" bestFit="1" customWidth="1"/>
    <col min="6" max="6" width="30" bestFit="1" customWidth="1"/>
    <col min="15" max="15" width="13.88671875" customWidth="1"/>
    <col min="16" max="16" width="12.5546875" bestFit="1" customWidth="1"/>
    <col min="17" max="17" width="9.109375" customWidth="1"/>
    <col min="18" max="18" width="12.5546875" bestFit="1" customWidth="1"/>
    <col min="19" max="19" width="10.109375" customWidth="1"/>
  </cols>
  <sheetData>
    <row r="1" spans="1:14" s="75" customFormat="1" ht="18" x14ac:dyDescent="0.35">
      <c r="A1" s="74" t="s">
        <v>178</v>
      </c>
      <c r="F1" s="74" t="s">
        <v>180</v>
      </c>
      <c r="H1" s="74" t="s">
        <v>179</v>
      </c>
      <c r="N1" s="74" t="s">
        <v>181</v>
      </c>
    </row>
    <row r="2" spans="1:14" x14ac:dyDescent="0.3">
      <c r="F2" t="s">
        <v>184</v>
      </c>
    </row>
    <row r="3" spans="1:14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104</v>
      </c>
      <c r="I3" s="1" t="s">
        <v>183</v>
      </c>
    </row>
    <row r="4" spans="1:14" x14ac:dyDescent="0.3">
      <c r="A4" s="3" t="s">
        <v>5</v>
      </c>
      <c r="B4" s="3">
        <v>75</v>
      </c>
      <c r="C4" s="3" t="s">
        <v>6</v>
      </c>
      <c r="D4" s="3">
        <v>43900</v>
      </c>
      <c r="E4" s="3">
        <v>51.14</v>
      </c>
      <c r="F4" s="3" t="str">
        <f>IF(RAW_Q1_Overview[[#This Row],[Duration_Type]]="Lead Time","Closed Cases","Open Cases")</f>
        <v>Closed Cases</v>
      </c>
      <c r="I4" t="s">
        <v>105</v>
      </c>
      <c r="K4" t="s">
        <v>106</v>
      </c>
    </row>
    <row r="5" spans="1:14" x14ac:dyDescent="0.3">
      <c r="A5" s="3" t="s">
        <v>5</v>
      </c>
      <c r="B5" s="3">
        <v>90</v>
      </c>
      <c r="C5" s="3" t="s">
        <v>7</v>
      </c>
      <c r="D5" s="3">
        <v>13021</v>
      </c>
      <c r="E5" s="3">
        <v>15.17</v>
      </c>
      <c r="F5" s="3" t="str">
        <f>IF(RAW_Q1_Overview[[#This Row],[Duration_Type]]="Lead Time","Closed Cases","Open Cases")</f>
        <v>Closed Cases</v>
      </c>
      <c r="H5" s="1" t="s">
        <v>182</v>
      </c>
      <c r="I5" t="s">
        <v>103</v>
      </c>
      <c r="J5" t="s">
        <v>137</v>
      </c>
      <c r="K5" t="s">
        <v>103</v>
      </c>
      <c r="L5" t="s">
        <v>137</v>
      </c>
    </row>
    <row r="6" spans="1:14" x14ac:dyDescent="0.3">
      <c r="A6" s="3" t="s">
        <v>5</v>
      </c>
      <c r="B6" s="3">
        <v>120</v>
      </c>
      <c r="C6" s="3" t="s">
        <v>8</v>
      </c>
      <c r="D6" s="3">
        <v>20304</v>
      </c>
      <c r="E6" s="3">
        <v>23.65</v>
      </c>
      <c r="F6" s="3" t="str">
        <f>IF(RAW_Q1_Overview[[#This Row],[Duration_Type]]="Lead Time","Closed Cases","Open Cases")</f>
        <v>Closed Cases</v>
      </c>
      <c r="H6" s="3">
        <v>75</v>
      </c>
      <c r="I6" s="3">
        <v>43900</v>
      </c>
      <c r="J6" s="3">
        <v>51.14</v>
      </c>
      <c r="K6" s="3">
        <v>28309</v>
      </c>
      <c r="L6" s="3">
        <v>52.71</v>
      </c>
    </row>
    <row r="7" spans="1:14" x14ac:dyDescent="0.3">
      <c r="A7" s="3" t="s">
        <v>5</v>
      </c>
      <c r="B7" s="3">
        <v>150</v>
      </c>
      <c r="C7" s="3" t="s">
        <v>9</v>
      </c>
      <c r="D7" s="3">
        <v>7377</v>
      </c>
      <c r="E7" s="3">
        <v>8.59</v>
      </c>
      <c r="F7" s="3" t="str">
        <f>IF(RAW_Q1_Overview[[#This Row],[Duration_Type]]="Lead Time","Closed Cases","Open Cases")</f>
        <v>Closed Cases</v>
      </c>
      <c r="H7" s="3">
        <v>90</v>
      </c>
      <c r="I7" s="3">
        <v>13021</v>
      </c>
      <c r="J7" s="3">
        <v>15.17</v>
      </c>
      <c r="K7" s="3">
        <v>5486</v>
      </c>
      <c r="L7" s="3">
        <v>10.220000000000001</v>
      </c>
    </row>
    <row r="8" spans="1:14" x14ac:dyDescent="0.3">
      <c r="A8" s="3" t="s">
        <v>5</v>
      </c>
      <c r="B8" s="3" t="s">
        <v>10</v>
      </c>
      <c r="C8" s="3" t="s">
        <v>11</v>
      </c>
      <c r="D8" s="3">
        <v>1243</v>
      </c>
      <c r="E8" s="3">
        <v>1.45</v>
      </c>
      <c r="F8" s="3" t="str">
        <f>IF(RAW_Q1_Overview[[#This Row],[Duration_Type]]="Lead Time","Closed Cases","Open Cases")</f>
        <v>Closed Cases</v>
      </c>
      <c r="H8" s="3">
        <v>120</v>
      </c>
      <c r="I8" s="3">
        <v>20304</v>
      </c>
      <c r="J8" s="3">
        <v>23.65</v>
      </c>
      <c r="K8" s="3">
        <v>8374</v>
      </c>
      <c r="L8" s="3">
        <v>15.59</v>
      </c>
    </row>
    <row r="9" spans="1:14" x14ac:dyDescent="0.3">
      <c r="A9" s="3" t="s">
        <v>12</v>
      </c>
      <c r="B9" s="3">
        <v>75</v>
      </c>
      <c r="C9" s="3" t="s">
        <v>6</v>
      </c>
      <c r="D9" s="3">
        <v>28309</v>
      </c>
      <c r="E9" s="3">
        <v>52.71</v>
      </c>
      <c r="F9" s="3" t="str">
        <f>IF(RAW_Q1_Overview[[#This Row],[Duration_Type]]="Lead Time","Closed Cases","Open Cases")</f>
        <v>Open Cases</v>
      </c>
      <c r="H9" s="3">
        <v>150</v>
      </c>
      <c r="I9" s="3">
        <v>7377</v>
      </c>
      <c r="J9" s="3">
        <v>8.59</v>
      </c>
      <c r="K9" s="3">
        <v>4111</v>
      </c>
      <c r="L9" s="3">
        <v>7.65</v>
      </c>
    </row>
    <row r="10" spans="1:14" x14ac:dyDescent="0.3">
      <c r="A10" s="3" t="s">
        <v>12</v>
      </c>
      <c r="B10" s="3">
        <v>90</v>
      </c>
      <c r="C10" s="3" t="s">
        <v>7</v>
      </c>
      <c r="D10" s="3">
        <v>5486</v>
      </c>
      <c r="E10" s="3">
        <v>10.220000000000001</v>
      </c>
      <c r="F10" s="3" t="str">
        <f>IF(RAW_Q1_Overview[[#This Row],[Duration_Type]]="Lead Time","Closed Cases","Open Cases")</f>
        <v>Open Cases</v>
      </c>
      <c r="H10" s="3" t="s">
        <v>10</v>
      </c>
      <c r="I10" s="3">
        <v>1243</v>
      </c>
      <c r="J10" s="3">
        <v>1.45</v>
      </c>
      <c r="K10" s="3">
        <v>7424</v>
      </c>
      <c r="L10" s="3">
        <v>13.82</v>
      </c>
    </row>
    <row r="11" spans="1:14" x14ac:dyDescent="0.3">
      <c r="A11" s="3" t="s">
        <v>12</v>
      </c>
      <c r="B11" s="3">
        <v>120</v>
      </c>
      <c r="C11" s="3" t="s">
        <v>8</v>
      </c>
      <c r="D11" s="3">
        <v>8374</v>
      </c>
      <c r="E11" s="3">
        <v>15.59</v>
      </c>
      <c r="F11" s="3" t="str">
        <f>IF(RAW_Q1_Overview[[#This Row],[Duration_Type]]="Lead Time","Closed Cases","Open Cases")</f>
        <v>Open Cases</v>
      </c>
    </row>
    <row r="12" spans="1:14" x14ac:dyDescent="0.3">
      <c r="A12" s="3" t="s">
        <v>12</v>
      </c>
      <c r="B12" s="3">
        <v>150</v>
      </c>
      <c r="C12" s="3" t="s">
        <v>9</v>
      </c>
      <c r="D12" s="3">
        <v>4111</v>
      </c>
      <c r="E12" s="3">
        <v>7.65</v>
      </c>
      <c r="F12" s="3" t="str">
        <f>IF(RAW_Q1_Overview[[#This Row],[Duration_Type]]="Lead Time","Closed Cases","Open Cases")</f>
        <v>Open Cases</v>
      </c>
    </row>
    <row r="13" spans="1:14" x14ac:dyDescent="0.3">
      <c r="A13" s="3" t="s">
        <v>12</v>
      </c>
      <c r="B13" s="3" t="s">
        <v>10</v>
      </c>
      <c r="C13" s="3" t="s">
        <v>11</v>
      </c>
      <c r="D13" s="3">
        <v>7424</v>
      </c>
      <c r="E13" s="3">
        <v>13.82</v>
      </c>
      <c r="F13" s="3" t="str">
        <f>IF(RAW_Q1_Overview[[#This Row],[Duration_Type]]="Lead Time","Closed Cases","Open Cases")</f>
        <v>Open Cases</v>
      </c>
    </row>
    <row r="23" spans="14:18" x14ac:dyDescent="0.3">
      <c r="N23" s="78" t="s">
        <v>135</v>
      </c>
      <c r="O23" s="80" t="s">
        <v>106</v>
      </c>
      <c r="P23" s="81"/>
      <c r="Q23" s="76" t="s">
        <v>105</v>
      </c>
      <c r="R23" s="77"/>
    </row>
    <row r="24" spans="14:18" ht="15" thickBot="1" x14ac:dyDescent="0.35">
      <c r="N24" s="79"/>
      <c r="O24" s="35" t="s">
        <v>103</v>
      </c>
      <c r="P24" s="36" t="s">
        <v>130</v>
      </c>
      <c r="Q24" s="29" t="s">
        <v>103</v>
      </c>
      <c r="R24" s="26" t="s">
        <v>130</v>
      </c>
    </row>
    <row r="25" spans="14:18" ht="15" thickTop="1" x14ac:dyDescent="0.3">
      <c r="N25" s="43">
        <v>75</v>
      </c>
      <c r="O25" s="31">
        <v>28309</v>
      </c>
      <c r="P25" s="32">
        <v>52.71</v>
      </c>
      <c r="Q25" s="30">
        <v>43900</v>
      </c>
      <c r="R25" s="25">
        <v>51.14</v>
      </c>
    </row>
    <row r="26" spans="14:18" x14ac:dyDescent="0.3">
      <c r="N26" s="24">
        <v>90</v>
      </c>
      <c r="O26" s="27">
        <v>5486</v>
      </c>
      <c r="P26" s="11">
        <v>10.220000000000001</v>
      </c>
      <c r="Q26" s="27">
        <v>13021</v>
      </c>
      <c r="R26" s="11">
        <v>15.17</v>
      </c>
    </row>
    <row r="27" spans="14:18" x14ac:dyDescent="0.3">
      <c r="N27" s="44">
        <v>120</v>
      </c>
      <c r="O27" s="33">
        <v>8374</v>
      </c>
      <c r="P27" s="34">
        <v>15.59</v>
      </c>
      <c r="Q27" s="28">
        <v>20304</v>
      </c>
      <c r="R27" s="7">
        <v>23.65</v>
      </c>
    </row>
    <row r="28" spans="14:18" ht="14.4" customHeight="1" x14ac:dyDescent="0.3">
      <c r="N28" s="24">
        <v>150</v>
      </c>
      <c r="O28" s="27">
        <v>4111</v>
      </c>
      <c r="P28" s="11">
        <v>7.65</v>
      </c>
      <c r="Q28" s="27">
        <v>7377</v>
      </c>
      <c r="R28" s="11">
        <v>8.59</v>
      </c>
    </row>
    <row r="29" spans="14:18" ht="15" thickBot="1" x14ac:dyDescent="0.35">
      <c r="N29" s="45" t="s">
        <v>10</v>
      </c>
      <c r="O29" s="41">
        <v>7424</v>
      </c>
      <c r="P29" s="42">
        <v>13.82</v>
      </c>
      <c r="Q29" s="39">
        <v>1243</v>
      </c>
      <c r="R29" s="40">
        <v>1.45</v>
      </c>
    </row>
    <row r="30" spans="14:18" ht="15" thickBot="1" x14ac:dyDescent="0.35">
      <c r="N30" s="37" t="s">
        <v>136</v>
      </c>
      <c r="O30" s="38">
        <f>SUM(O25:O29)</f>
        <v>53704</v>
      </c>
      <c r="P30" s="46">
        <v>100</v>
      </c>
      <c r="Q30" s="38">
        <f>SUM(Q25:Q29)</f>
        <v>85845</v>
      </c>
      <c r="R30" s="46">
        <v>100</v>
      </c>
    </row>
  </sheetData>
  <mergeCells count="3">
    <mergeCell ref="Q23:R23"/>
    <mergeCell ref="O23:P23"/>
    <mergeCell ref="N23:N24"/>
  </mergeCell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BE29-1658-44C1-AE75-51D8CE3752FD}">
  <dimension ref="A1:E35"/>
  <sheetViews>
    <sheetView workbookViewId="0"/>
  </sheetViews>
  <sheetFormatPr defaultRowHeight="14.4" x14ac:dyDescent="0.3"/>
  <cols>
    <col min="1" max="1" width="13.77734375" bestFit="1" customWidth="1"/>
    <col min="2" max="2" width="14.109375" bestFit="1" customWidth="1"/>
    <col min="3" max="3" width="12.77734375" bestFit="1" customWidth="1"/>
    <col min="4" max="4" width="10.109375" bestFit="1" customWidth="1"/>
    <col min="5" max="5" width="7.5546875" bestFit="1" customWidth="1"/>
  </cols>
  <sheetData>
    <row r="1" spans="1:5" x14ac:dyDescent="0.3">
      <c r="A1" t="s">
        <v>13</v>
      </c>
      <c r="B1" t="s">
        <v>100</v>
      </c>
      <c r="C1" t="s">
        <v>2</v>
      </c>
      <c r="D1" t="s">
        <v>3</v>
      </c>
      <c r="E1" t="s">
        <v>4</v>
      </c>
    </row>
    <row r="2" spans="1:5" x14ac:dyDescent="0.3">
      <c r="A2" s="18">
        <v>43466</v>
      </c>
      <c r="B2" t="s">
        <v>5</v>
      </c>
      <c r="C2" t="s">
        <v>6</v>
      </c>
      <c r="D2">
        <v>50</v>
      </c>
      <c r="E2">
        <v>100</v>
      </c>
    </row>
    <row r="3" spans="1:5" x14ac:dyDescent="0.3">
      <c r="A3" s="18">
        <v>43435</v>
      </c>
      <c r="B3" t="s">
        <v>5</v>
      </c>
      <c r="C3" t="s">
        <v>6</v>
      </c>
      <c r="D3">
        <v>676</v>
      </c>
      <c r="E3">
        <v>100</v>
      </c>
    </row>
    <row r="4" spans="1:5" x14ac:dyDescent="0.3">
      <c r="A4" s="18">
        <v>43405</v>
      </c>
      <c r="B4" t="s">
        <v>5</v>
      </c>
      <c r="C4" t="s">
        <v>6</v>
      </c>
      <c r="D4">
        <v>5867</v>
      </c>
      <c r="E4">
        <v>99.91</v>
      </c>
    </row>
    <row r="5" spans="1:5" x14ac:dyDescent="0.3">
      <c r="A5" s="18">
        <v>43405</v>
      </c>
      <c r="B5" t="s">
        <v>5</v>
      </c>
      <c r="C5" t="s">
        <v>7</v>
      </c>
      <c r="D5">
        <v>5</v>
      </c>
      <c r="E5">
        <v>0.09</v>
      </c>
    </row>
    <row r="6" spans="1:5" x14ac:dyDescent="0.3">
      <c r="A6" s="18">
        <v>43374</v>
      </c>
      <c r="B6" t="s">
        <v>5</v>
      </c>
      <c r="C6" t="s">
        <v>6</v>
      </c>
      <c r="D6">
        <v>7285</v>
      </c>
      <c r="E6">
        <v>63.75</v>
      </c>
    </row>
    <row r="7" spans="1:5" x14ac:dyDescent="0.3">
      <c r="A7" s="18">
        <v>43374</v>
      </c>
      <c r="B7" t="s">
        <v>5</v>
      </c>
      <c r="C7" t="s">
        <v>7</v>
      </c>
      <c r="D7">
        <v>2657</v>
      </c>
      <c r="E7">
        <v>23.25</v>
      </c>
    </row>
    <row r="8" spans="1:5" x14ac:dyDescent="0.3">
      <c r="A8" s="18">
        <v>43374</v>
      </c>
      <c r="B8" t="s">
        <v>5</v>
      </c>
      <c r="C8" t="s">
        <v>18</v>
      </c>
      <c r="D8">
        <v>1486</v>
      </c>
      <c r="E8">
        <v>13</v>
      </c>
    </row>
    <row r="9" spans="1:5" x14ac:dyDescent="0.3">
      <c r="A9" s="18">
        <v>43344</v>
      </c>
      <c r="B9" t="s">
        <v>5</v>
      </c>
      <c r="C9" t="s">
        <v>6</v>
      </c>
      <c r="D9">
        <v>6361</v>
      </c>
      <c r="E9">
        <v>49.43</v>
      </c>
    </row>
    <row r="10" spans="1:5" x14ac:dyDescent="0.3">
      <c r="A10" s="18">
        <v>43344</v>
      </c>
      <c r="B10" t="s">
        <v>5</v>
      </c>
      <c r="C10" t="s">
        <v>7</v>
      </c>
      <c r="D10">
        <v>2322</v>
      </c>
      <c r="E10">
        <v>18.04</v>
      </c>
    </row>
    <row r="11" spans="1:5" x14ac:dyDescent="0.3">
      <c r="A11" s="18">
        <v>43344</v>
      </c>
      <c r="B11" t="s">
        <v>5</v>
      </c>
      <c r="C11" t="s">
        <v>18</v>
      </c>
      <c r="D11">
        <v>4185</v>
      </c>
      <c r="E11">
        <v>32.520000000000003</v>
      </c>
    </row>
    <row r="12" spans="1:5" x14ac:dyDescent="0.3">
      <c r="A12" s="18">
        <v>43313</v>
      </c>
      <c r="B12" t="s">
        <v>5</v>
      </c>
      <c r="C12" t="s">
        <v>6</v>
      </c>
      <c r="D12">
        <v>7953</v>
      </c>
      <c r="E12">
        <v>46.93</v>
      </c>
    </row>
    <row r="13" spans="1:5" x14ac:dyDescent="0.3">
      <c r="A13" s="18">
        <v>43313</v>
      </c>
      <c r="B13" t="s">
        <v>5</v>
      </c>
      <c r="C13" t="s">
        <v>7</v>
      </c>
      <c r="D13">
        <v>1934</v>
      </c>
      <c r="E13">
        <v>11.41</v>
      </c>
    </row>
    <row r="14" spans="1:5" x14ac:dyDescent="0.3">
      <c r="A14" s="18">
        <v>43313</v>
      </c>
      <c r="B14" t="s">
        <v>5</v>
      </c>
      <c r="C14" t="s">
        <v>18</v>
      </c>
      <c r="D14">
        <v>7060</v>
      </c>
      <c r="E14">
        <v>41.66</v>
      </c>
    </row>
    <row r="15" spans="1:5" x14ac:dyDescent="0.3">
      <c r="A15" s="18">
        <v>43282</v>
      </c>
      <c r="B15" t="s">
        <v>5</v>
      </c>
      <c r="C15" t="s">
        <v>6</v>
      </c>
      <c r="D15">
        <v>7578</v>
      </c>
      <c r="E15">
        <v>41.66</v>
      </c>
    </row>
    <row r="16" spans="1:5" x14ac:dyDescent="0.3">
      <c r="A16" s="18">
        <v>43282</v>
      </c>
      <c r="B16" t="s">
        <v>5</v>
      </c>
      <c r="C16" t="s">
        <v>7</v>
      </c>
      <c r="D16">
        <v>3099</v>
      </c>
      <c r="E16">
        <v>17.04</v>
      </c>
    </row>
    <row r="17" spans="1:5" x14ac:dyDescent="0.3">
      <c r="A17" s="18">
        <v>43282</v>
      </c>
      <c r="B17" t="s">
        <v>5</v>
      </c>
      <c r="C17" t="s">
        <v>18</v>
      </c>
      <c r="D17">
        <v>7512</v>
      </c>
      <c r="E17">
        <v>41.3</v>
      </c>
    </row>
    <row r="18" spans="1:5" x14ac:dyDescent="0.3">
      <c r="A18" s="18">
        <v>43252</v>
      </c>
      <c r="B18" t="s">
        <v>5</v>
      </c>
      <c r="C18" t="s">
        <v>6</v>
      </c>
      <c r="D18">
        <v>8130</v>
      </c>
      <c r="E18">
        <v>41.03</v>
      </c>
    </row>
    <row r="19" spans="1:5" x14ac:dyDescent="0.3">
      <c r="A19" s="18">
        <v>43252</v>
      </c>
      <c r="B19" t="s">
        <v>5</v>
      </c>
      <c r="C19" t="s">
        <v>7</v>
      </c>
      <c r="D19">
        <v>3004</v>
      </c>
      <c r="E19">
        <v>15.16</v>
      </c>
    </row>
    <row r="20" spans="1:5" x14ac:dyDescent="0.3">
      <c r="A20" s="18">
        <v>43252</v>
      </c>
      <c r="B20" t="s">
        <v>5</v>
      </c>
      <c r="C20" t="s">
        <v>18</v>
      </c>
      <c r="D20">
        <v>8681</v>
      </c>
      <c r="E20">
        <v>43.81</v>
      </c>
    </row>
    <row r="21" spans="1:5" x14ac:dyDescent="0.3">
      <c r="A21" s="18">
        <v>43221</v>
      </c>
      <c r="B21" t="s">
        <v>5</v>
      </c>
      <c r="C21" t="s">
        <v>6</v>
      </c>
      <c r="D21">
        <v>9072</v>
      </c>
      <c r="E21">
        <v>45.15</v>
      </c>
    </row>
    <row r="22" spans="1:5" x14ac:dyDescent="0.3">
      <c r="A22" s="18">
        <v>43221</v>
      </c>
      <c r="B22" t="s">
        <v>5</v>
      </c>
      <c r="C22" t="s">
        <v>7</v>
      </c>
      <c r="D22">
        <v>2634</v>
      </c>
      <c r="E22">
        <v>13.11</v>
      </c>
    </row>
    <row r="23" spans="1:5" x14ac:dyDescent="0.3">
      <c r="A23" s="18">
        <v>43221</v>
      </c>
      <c r="B23" t="s">
        <v>5</v>
      </c>
      <c r="C23" t="s">
        <v>18</v>
      </c>
      <c r="D23">
        <v>8389</v>
      </c>
      <c r="E23">
        <v>41.75</v>
      </c>
    </row>
    <row r="24" spans="1:5" x14ac:dyDescent="0.3">
      <c r="A24" s="18">
        <v>43191</v>
      </c>
      <c r="B24" t="s">
        <v>5</v>
      </c>
      <c r="C24" t="s">
        <v>6</v>
      </c>
      <c r="D24">
        <v>8664</v>
      </c>
      <c r="E24">
        <v>44.17</v>
      </c>
    </row>
    <row r="25" spans="1:5" x14ac:dyDescent="0.3">
      <c r="A25" s="18">
        <v>43191</v>
      </c>
      <c r="B25" t="s">
        <v>5</v>
      </c>
      <c r="C25" t="s">
        <v>7</v>
      </c>
      <c r="D25">
        <v>2625</v>
      </c>
      <c r="E25">
        <v>13.38</v>
      </c>
    </row>
    <row r="26" spans="1:5" x14ac:dyDescent="0.3">
      <c r="A26" s="18">
        <v>43191</v>
      </c>
      <c r="B26" t="s">
        <v>5</v>
      </c>
      <c r="C26" t="s">
        <v>18</v>
      </c>
      <c r="D26">
        <v>8328</v>
      </c>
      <c r="E26">
        <v>42.45</v>
      </c>
    </row>
    <row r="27" spans="1:5" x14ac:dyDescent="0.3">
      <c r="A27" s="18">
        <v>43160</v>
      </c>
      <c r="B27" t="s">
        <v>5</v>
      </c>
      <c r="C27" t="s">
        <v>6</v>
      </c>
      <c r="D27">
        <v>9584</v>
      </c>
      <c r="E27">
        <v>44.69</v>
      </c>
    </row>
    <row r="28" spans="1:5" x14ac:dyDescent="0.3">
      <c r="A28" s="18">
        <v>43160</v>
      </c>
      <c r="B28" t="s">
        <v>5</v>
      </c>
      <c r="C28" t="s">
        <v>7</v>
      </c>
      <c r="D28">
        <v>2161</v>
      </c>
      <c r="E28">
        <v>10.08</v>
      </c>
    </row>
    <row r="29" spans="1:5" x14ac:dyDescent="0.3">
      <c r="A29" s="18">
        <v>43160</v>
      </c>
      <c r="B29" t="s">
        <v>5</v>
      </c>
      <c r="C29" t="s">
        <v>18</v>
      </c>
      <c r="D29">
        <v>9700</v>
      </c>
      <c r="E29">
        <v>45.23</v>
      </c>
    </row>
    <row r="30" spans="1:5" x14ac:dyDescent="0.3">
      <c r="A30" s="18">
        <v>43132</v>
      </c>
      <c r="B30" t="s">
        <v>5</v>
      </c>
      <c r="C30" t="s">
        <v>6</v>
      </c>
      <c r="D30">
        <v>8392</v>
      </c>
      <c r="E30">
        <v>45.82</v>
      </c>
    </row>
    <row r="31" spans="1:5" x14ac:dyDescent="0.3">
      <c r="A31" s="18">
        <v>43132</v>
      </c>
      <c r="B31" t="s">
        <v>5</v>
      </c>
      <c r="C31" t="s">
        <v>7</v>
      </c>
      <c r="D31">
        <v>2945</v>
      </c>
      <c r="E31">
        <v>16.079999999999998</v>
      </c>
    </row>
    <row r="32" spans="1:5" x14ac:dyDescent="0.3">
      <c r="A32" s="18">
        <v>43132</v>
      </c>
      <c r="B32" t="s">
        <v>5</v>
      </c>
      <c r="C32" t="s">
        <v>18</v>
      </c>
      <c r="D32">
        <v>6980</v>
      </c>
      <c r="E32">
        <v>38.11</v>
      </c>
    </row>
    <row r="33" spans="1:5" x14ac:dyDescent="0.3">
      <c r="A33" s="18">
        <v>43101</v>
      </c>
      <c r="B33" t="s">
        <v>5</v>
      </c>
      <c r="C33" t="s">
        <v>6</v>
      </c>
      <c r="D33">
        <v>8004</v>
      </c>
      <c r="E33">
        <v>43.6</v>
      </c>
    </row>
    <row r="34" spans="1:5" x14ac:dyDescent="0.3">
      <c r="A34" s="18">
        <v>43101</v>
      </c>
      <c r="B34" t="s">
        <v>5</v>
      </c>
      <c r="C34" t="s">
        <v>7</v>
      </c>
      <c r="D34">
        <v>2724</v>
      </c>
      <c r="E34">
        <v>14.84</v>
      </c>
    </row>
    <row r="35" spans="1:5" x14ac:dyDescent="0.3">
      <c r="A35" s="18">
        <v>43101</v>
      </c>
      <c r="B35" t="s">
        <v>5</v>
      </c>
      <c r="C35" t="s">
        <v>18</v>
      </c>
      <c r="D35">
        <v>7630</v>
      </c>
      <c r="E35">
        <v>41.56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D087-AC34-48C2-925B-3B7AB77B28D7}">
  <dimension ref="A1:P52"/>
  <sheetViews>
    <sheetView zoomScale="70" zoomScaleNormal="70" workbookViewId="0">
      <selection activeCell="O24" sqref="O24"/>
    </sheetView>
  </sheetViews>
  <sheetFormatPr defaultRowHeight="14.4" x14ac:dyDescent="0.3"/>
  <cols>
    <col min="1" max="1" width="11.5546875" bestFit="1" customWidth="1"/>
    <col min="2" max="2" width="15.33203125" bestFit="1" customWidth="1"/>
    <col min="3" max="3" width="13.88671875" bestFit="1" customWidth="1"/>
    <col min="4" max="4" width="11.33203125" bestFit="1" customWidth="1"/>
    <col min="5" max="5" width="21.5546875" style="19" bestFit="1" customWidth="1"/>
    <col min="8" max="8" width="15" bestFit="1" customWidth="1"/>
    <col min="9" max="9" width="14.88671875" bestFit="1" customWidth="1"/>
    <col min="10" max="10" width="8.33203125" bestFit="1" customWidth="1"/>
    <col min="11" max="11" width="11.109375" bestFit="1" customWidth="1"/>
    <col min="12" max="12" width="8.33203125" bestFit="1" customWidth="1"/>
    <col min="13" max="13" width="16" customWidth="1"/>
    <col min="14" max="14" width="11" bestFit="1" customWidth="1"/>
  </cols>
  <sheetData>
    <row r="1" spans="1:16" ht="17.399999999999999" customHeight="1" x14ac:dyDescent="0.35">
      <c r="A1" s="74" t="s">
        <v>180</v>
      </c>
      <c r="B1" s="75"/>
      <c r="C1" s="75"/>
      <c r="D1" s="75"/>
      <c r="E1" s="75"/>
      <c r="F1" s="75"/>
      <c r="G1" s="75"/>
      <c r="H1" s="74" t="s">
        <v>179</v>
      </c>
      <c r="J1" s="75"/>
      <c r="K1" s="75"/>
      <c r="L1" s="75"/>
      <c r="M1" s="75"/>
      <c r="P1" s="74" t="s">
        <v>181</v>
      </c>
    </row>
    <row r="2" spans="1:16" x14ac:dyDescent="0.3">
      <c r="A2" t="s">
        <v>188</v>
      </c>
    </row>
    <row r="3" spans="1:16" x14ac:dyDescent="0.3">
      <c r="A3" t="s">
        <v>107</v>
      </c>
      <c r="B3" t="s">
        <v>100</v>
      </c>
      <c r="C3" t="s">
        <v>2</v>
      </c>
      <c r="D3" t="s">
        <v>3</v>
      </c>
      <c r="E3" s="19" t="s">
        <v>108</v>
      </c>
    </row>
    <row r="4" spans="1:16" x14ac:dyDescent="0.3">
      <c r="A4" s="18">
        <v>43466</v>
      </c>
      <c r="B4" t="s">
        <v>106</v>
      </c>
      <c r="C4" t="s">
        <v>6</v>
      </c>
      <c r="D4">
        <v>332</v>
      </c>
      <c r="E4" s="19">
        <f>(WORK_Q1_Monthly_Trend[[#This Row],[Amount]]*100)/SUMIFS(WORK_Q1_Monthly_Trend[Amount],WORK_Q1_Monthly_Trend[Month],WORK_Q1_Monthly_Trend[[#This Row],[Month]])</f>
        <v>86.910994764397913</v>
      </c>
      <c r="I4" s="1" t="s">
        <v>183</v>
      </c>
    </row>
    <row r="5" spans="1:16" x14ac:dyDescent="0.3">
      <c r="A5" s="18">
        <v>43435</v>
      </c>
      <c r="B5" t="s">
        <v>106</v>
      </c>
      <c r="C5" t="s">
        <v>6</v>
      </c>
      <c r="D5">
        <v>13503</v>
      </c>
      <c r="E5" s="19">
        <f>(WORK_Q1_Monthly_Trend[[#This Row],[Amount]]*100)/SUMIFS(WORK_Q1_Monthly_Trend[Amount],WORK_Q1_Monthly_Trend[Month],WORK_Q1_Monthly_Trend[[#This Row],[Month]])</f>
        <v>95.232385922843648</v>
      </c>
      <c r="I5" t="s">
        <v>105</v>
      </c>
      <c r="K5" t="s">
        <v>106</v>
      </c>
    </row>
    <row r="6" spans="1:16" x14ac:dyDescent="0.3">
      <c r="A6" s="18">
        <v>43405</v>
      </c>
      <c r="B6" t="s">
        <v>106</v>
      </c>
      <c r="C6" t="s">
        <v>6</v>
      </c>
      <c r="D6">
        <v>14474</v>
      </c>
      <c r="E6" s="19">
        <f>(WORK_Q1_Monthly_Trend[[#This Row],[Amount]]*100)/SUMIFS(WORK_Q1_Monthly_Trend[Amount],WORK_Q1_Monthly_Trend[Month],WORK_Q1_Monthly_Trend[[#This Row],[Month]])</f>
        <v>68.212451105141625</v>
      </c>
      <c r="H6" s="1" t="s">
        <v>202</v>
      </c>
      <c r="I6" t="s">
        <v>124</v>
      </c>
      <c r="J6" t="s">
        <v>185</v>
      </c>
      <c r="K6" t="s">
        <v>124</v>
      </c>
      <c r="L6" t="s">
        <v>185</v>
      </c>
    </row>
    <row r="7" spans="1:16" x14ac:dyDescent="0.3">
      <c r="A7" s="18">
        <v>43405</v>
      </c>
      <c r="B7" t="s">
        <v>106</v>
      </c>
      <c r="C7" t="s">
        <v>7</v>
      </c>
      <c r="D7">
        <v>873</v>
      </c>
      <c r="E7" s="19">
        <f>(WORK_Q1_Monthly_Trend[[#This Row],[Amount]]*100)/SUMIFS(WORK_Q1_Monthly_Trend[Amount],WORK_Q1_Monthly_Trend[Month],WORK_Q1_Monthly_Trend[[#This Row],[Month]])</f>
        <v>4.1142372402092464</v>
      </c>
      <c r="H7" s="2" t="s">
        <v>110</v>
      </c>
      <c r="I7" s="82"/>
      <c r="J7" s="19"/>
      <c r="K7" s="82"/>
      <c r="L7" s="19"/>
    </row>
    <row r="8" spans="1:16" x14ac:dyDescent="0.3">
      <c r="A8" s="18">
        <v>43374</v>
      </c>
      <c r="B8" t="s">
        <v>106</v>
      </c>
      <c r="C8" t="s">
        <v>7</v>
      </c>
      <c r="D8">
        <v>4613</v>
      </c>
      <c r="E8" s="19">
        <f>(WORK_Q1_Monthly_Trend[[#This Row],[Amount]]*100)/SUMIFS(WORK_Q1_Monthly_Trend[Amount],WORK_Q1_Monthly_Trend[Month],WORK_Q1_Monthly_Trend[[#This Row],[Month]])</f>
        <v>20.921583745294573</v>
      </c>
      <c r="H8" s="20" t="s">
        <v>112</v>
      </c>
      <c r="I8" s="82">
        <v>18358</v>
      </c>
      <c r="J8" s="19">
        <v>86.38652298715354</v>
      </c>
      <c r="K8" s="82">
        <v>2893</v>
      </c>
      <c r="L8" s="19">
        <v>13.613477012846454</v>
      </c>
    </row>
    <row r="9" spans="1:16" x14ac:dyDescent="0.3">
      <c r="A9" s="18">
        <v>43374</v>
      </c>
      <c r="B9" t="s">
        <v>106</v>
      </c>
      <c r="C9" t="s">
        <v>18</v>
      </c>
      <c r="D9">
        <v>6008</v>
      </c>
      <c r="E9" s="19">
        <f>(WORK_Q1_Monthly_Trend[[#This Row],[Amount]]*100)/SUMIFS(WORK_Q1_Monthly_Trend[Amount],WORK_Q1_Monthly_Trend[Month],WORK_Q1_Monthly_Trend[[#This Row],[Month]])</f>
        <v>27.248401288040274</v>
      </c>
      <c r="H9" s="20" t="s">
        <v>113</v>
      </c>
      <c r="I9" s="82">
        <v>18317</v>
      </c>
      <c r="J9" s="19">
        <v>87.999039154455915</v>
      </c>
      <c r="K9" s="82">
        <v>2498</v>
      </c>
      <c r="L9" s="19">
        <v>12.000960845544078</v>
      </c>
    </row>
    <row r="10" spans="1:16" x14ac:dyDescent="0.3">
      <c r="A10" s="18">
        <v>43344</v>
      </c>
      <c r="B10" t="s">
        <v>106</v>
      </c>
      <c r="C10" t="s">
        <v>18</v>
      </c>
      <c r="D10">
        <v>5049</v>
      </c>
      <c r="E10" s="19">
        <f>(WORK_Q1_Monthly_Trend[[#This Row],[Amount]]*100)/SUMIFS(WORK_Q1_Monthly_Trend[Amount],WORK_Q1_Monthly_Trend[Month],WORK_Q1_Monthly_Trend[[#This Row],[Month]])</f>
        <v>28.179940838309985</v>
      </c>
      <c r="H10" s="20" t="s">
        <v>114</v>
      </c>
      <c r="I10" s="82">
        <v>21445</v>
      </c>
      <c r="J10" s="19">
        <v>86.797263933298268</v>
      </c>
      <c r="K10" s="82">
        <v>3262</v>
      </c>
      <c r="L10" s="19">
        <v>13.202736066701744</v>
      </c>
    </row>
    <row r="11" spans="1:16" x14ac:dyDescent="0.3">
      <c r="A11" s="18">
        <v>43313</v>
      </c>
      <c r="B11" t="s">
        <v>106</v>
      </c>
      <c r="C11" t="s">
        <v>18</v>
      </c>
      <c r="D11">
        <v>3280</v>
      </c>
      <c r="E11" s="19">
        <f>(WORK_Q1_Monthly_Trend[[#This Row],[Amount]]*100)/SUMIFS(WORK_Q1_Monthly_Trend[Amount],WORK_Q1_Monthly_Trend[Month],WORK_Q1_Monthly_Trend[[#This Row],[Month]])</f>
        <v>16.215948979087358</v>
      </c>
      <c r="H11" s="20" t="s">
        <v>115</v>
      </c>
      <c r="I11" s="82">
        <v>19617</v>
      </c>
      <c r="J11" s="19">
        <v>87.618920005359769</v>
      </c>
      <c r="K11" s="82">
        <v>2772</v>
      </c>
      <c r="L11" s="19">
        <v>12.381079994640226</v>
      </c>
    </row>
    <row r="12" spans="1:16" x14ac:dyDescent="0.3">
      <c r="A12" s="18">
        <v>43282</v>
      </c>
      <c r="B12" t="s">
        <v>106</v>
      </c>
      <c r="C12" t="s">
        <v>18</v>
      </c>
      <c r="D12">
        <v>2939</v>
      </c>
      <c r="E12" s="19">
        <f>(WORK_Q1_Monthly_Trend[[#This Row],[Amount]]*100)/SUMIFS(WORK_Q1_Monthly_Trend[Amount],WORK_Q1_Monthly_Trend[Month],WORK_Q1_Monthly_Trend[[#This Row],[Month]])</f>
        <v>13.910450586898902</v>
      </c>
      <c r="H12" s="20" t="s">
        <v>116</v>
      </c>
      <c r="I12" s="82">
        <v>20095</v>
      </c>
      <c r="J12" s="19">
        <v>87.282282934456845</v>
      </c>
      <c r="K12" s="82">
        <v>2928</v>
      </c>
      <c r="L12" s="19">
        <v>12.717717065543152</v>
      </c>
    </row>
    <row r="13" spans="1:16" x14ac:dyDescent="0.3">
      <c r="A13" s="18">
        <v>43252</v>
      </c>
      <c r="B13" t="s">
        <v>106</v>
      </c>
      <c r="C13" t="s">
        <v>18</v>
      </c>
      <c r="D13">
        <v>2633</v>
      </c>
      <c r="E13" s="19">
        <f>(WORK_Q1_Monthly_Trend[[#This Row],[Amount]]*100)/SUMIFS(WORK_Q1_Monthly_Trend[Amount],WORK_Q1_Monthly_Trend[Month],WORK_Q1_Monthly_Trend[[#This Row],[Month]])</f>
        <v>11.729330007127583</v>
      </c>
      <c r="H13" s="20" t="s">
        <v>117</v>
      </c>
      <c r="I13" s="82">
        <v>19815</v>
      </c>
      <c r="J13" s="19">
        <v>88.270669992872428</v>
      </c>
      <c r="K13" s="82">
        <v>2633</v>
      </c>
      <c r="L13" s="19">
        <v>11.729330007127583</v>
      </c>
    </row>
    <row r="14" spans="1:16" x14ac:dyDescent="0.3">
      <c r="A14" s="18">
        <v>43221</v>
      </c>
      <c r="B14" t="s">
        <v>106</v>
      </c>
      <c r="C14" t="s">
        <v>18</v>
      </c>
      <c r="D14">
        <v>2928</v>
      </c>
      <c r="E14" s="19">
        <f>(WORK_Q1_Monthly_Trend[[#This Row],[Amount]]*100)/SUMIFS(WORK_Q1_Monthly_Trend[Amount],WORK_Q1_Monthly_Trend[Month],WORK_Q1_Monthly_Trend[[#This Row],[Month]])</f>
        <v>12.717717065543152</v>
      </c>
      <c r="H14" s="20" t="s">
        <v>118</v>
      </c>
      <c r="I14" s="82">
        <v>18189</v>
      </c>
      <c r="J14" s="19">
        <v>86.089549413101096</v>
      </c>
      <c r="K14" s="82">
        <v>2939</v>
      </c>
      <c r="L14" s="19">
        <v>13.910450586898902</v>
      </c>
    </row>
    <row r="15" spans="1:16" x14ac:dyDescent="0.3">
      <c r="A15" s="18">
        <v>43191</v>
      </c>
      <c r="B15" t="s">
        <v>106</v>
      </c>
      <c r="C15" t="s">
        <v>18</v>
      </c>
      <c r="D15">
        <v>2772</v>
      </c>
      <c r="E15" s="19">
        <f>(WORK_Q1_Monthly_Trend[[#This Row],[Amount]]*100)/SUMIFS(WORK_Q1_Monthly_Trend[Amount],WORK_Q1_Monthly_Trend[Month],WORK_Q1_Monthly_Trend[[#This Row],[Month]])</f>
        <v>12.381079994640226</v>
      </c>
      <c r="H15" s="20" t="s">
        <v>119</v>
      </c>
      <c r="I15" s="82">
        <v>16947</v>
      </c>
      <c r="J15" s="19">
        <v>83.784051020912642</v>
      </c>
      <c r="K15" s="82">
        <v>3280</v>
      </c>
      <c r="L15" s="19">
        <v>16.215948979087358</v>
      </c>
    </row>
    <row r="16" spans="1:16" x14ac:dyDescent="0.3">
      <c r="A16" s="18">
        <v>43160</v>
      </c>
      <c r="B16" t="s">
        <v>106</v>
      </c>
      <c r="C16" t="s">
        <v>18</v>
      </c>
      <c r="D16">
        <v>3262</v>
      </c>
      <c r="E16" s="19">
        <f>(WORK_Q1_Monthly_Trend[[#This Row],[Amount]]*100)/SUMIFS(WORK_Q1_Monthly_Trend[Amount],WORK_Q1_Monthly_Trend[Month],WORK_Q1_Monthly_Trend[[#This Row],[Month]])</f>
        <v>13.202736066701744</v>
      </c>
      <c r="H16" s="20" t="s">
        <v>120</v>
      </c>
      <c r="I16" s="82">
        <v>12868</v>
      </c>
      <c r="J16" s="19">
        <v>71.820059161690011</v>
      </c>
      <c r="K16" s="82">
        <v>5049</v>
      </c>
      <c r="L16" s="19">
        <v>28.179940838309985</v>
      </c>
    </row>
    <row r="17" spans="1:14" x14ac:dyDescent="0.3">
      <c r="A17" s="18">
        <v>43132</v>
      </c>
      <c r="B17" t="s">
        <v>106</v>
      </c>
      <c r="C17" t="s">
        <v>18</v>
      </c>
      <c r="D17">
        <v>2498</v>
      </c>
      <c r="E17" s="19">
        <f>(WORK_Q1_Monthly_Trend[[#This Row],[Amount]]*100)/SUMIFS(WORK_Q1_Monthly_Trend[Amount],WORK_Q1_Monthly_Trend[Month],WORK_Q1_Monthly_Trend[[#This Row],[Month]])</f>
        <v>12.000960845544078</v>
      </c>
      <c r="H17" s="20" t="s">
        <v>121</v>
      </c>
      <c r="I17" s="82">
        <v>11428</v>
      </c>
      <c r="J17" s="19">
        <v>51.830014966665154</v>
      </c>
      <c r="K17" s="82">
        <v>10621</v>
      </c>
      <c r="L17" s="19">
        <v>48.169985033334846</v>
      </c>
    </row>
    <row r="18" spans="1:14" x14ac:dyDescent="0.3">
      <c r="A18" s="18">
        <v>43101</v>
      </c>
      <c r="B18" t="s">
        <v>106</v>
      </c>
      <c r="C18" t="s">
        <v>18</v>
      </c>
      <c r="D18">
        <v>2893</v>
      </c>
      <c r="E18" s="19">
        <f>(WORK_Q1_Monthly_Trend[[#This Row],[Amount]]*100)/SUMIFS(WORK_Q1_Monthly_Trend[Amount],WORK_Q1_Monthly_Trend[Month],WORK_Q1_Monthly_Trend[[#This Row],[Month]])</f>
        <v>13.613477012846454</v>
      </c>
      <c r="H18" s="20" t="s">
        <v>122</v>
      </c>
      <c r="I18" s="82">
        <v>5872</v>
      </c>
      <c r="J18" s="19">
        <v>27.673311654649133</v>
      </c>
      <c r="K18" s="82">
        <v>15347</v>
      </c>
      <c r="L18" s="19">
        <v>72.326688345350874</v>
      </c>
    </row>
    <row r="19" spans="1:14" x14ac:dyDescent="0.3">
      <c r="A19" s="18">
        <v>43466</v>
      </c>
      <c r="B19" t="s">
        <v>105</v>
      </c>
      <c r="C19" t="s">
        <v>6</v>
      </c>
      <c r="D19">
        <v>50</v>
      </c>
      <c r="E19" s="19">
        <f>(WORK_Q1_Monthly_Trend[[#This Row],[Amount]]*100)/SUMIFS(WORK_Q1_Monthly_Trend[Amount],WORK_Q1_Monthly_Trend[Month],WORK_Q1_Monthly_Trend[[#This Row],[Month]])</f>
        <v>13.089005235602095</v>
      </c>
      <c r="H19" s="20" t="s">
        <v>123</v>
      </c>
      <c r="I19" s="82">
        <v>676</v>
      </c>
      <c r="J19" s="19">
        <v>4.7676140771563578</v>
      </c>
      <c r="K19" s="82">
        <v>13503</v>
      </c>
      <c r="L19" s="19">
        <v>95.232385922843648</v>
      </c>
    </row>
    <row r="20" spans="1:14" x14ac:dyDescent="0.3">
      <c r="A20" s="18">
        <v>43435</v>
      </c>
      <c r="B20" t="s">
        <v>105</v>
      </c>
      <c r="C20" t="s">
        <v>6</v>
      </c>
      <c r="D20">
        <v>676</v>
      </c>
      <c r="E20" s="19">
        <f>(WORK_Q1_Monthly_Trend[[#This Row],[Amount]]*100)/SUMIFS(WORK_Q1_Monthly_Trend[Amount],WORK_Q1_Monthly_Trend[Month],WORK_Q1_Monthly_Trend[[#This Row],[Month]])</f>
        <v>4.7676140771563578</v>
      </c>
      <c r="H20" s="2" t="s">
        <v>111</v>
      </c>
      <c r="I20" s="82"/>
      <c r="J20" s="19"/>
      <c r="K20" s="82"/>
      <c r="L20" s="19"/>
    </row>
    <row r="21" spans="1:14" x14ac:dyDescent="0.3">
      <c r="A21" s="18">
        <v>43405</v>
      </c>
      <c r="B21" t="s">
        <v>105</v>
      </c>
      <c r="C21" t="s">
        <v>6</v>
      </c>
      <c r="D21">
        <v>5867</v>
      </c>
      <c r="E21" s="19">
        <f>(WORK_Q1_Monthly_Trend[[#This Row],[Amount]]*100)/SUMIFS(WORK_Q1_Monthly_Trend[Amount],WORK_Q1_Monthly_Trend[Month],WORK_Q1_Monthly_Trend[[#This Row],[Month]])</f>
        <v>27.649747867477259</v>
      </c>
      <c r="H21" s="20" t="s">
        <v>112</v>
      </c>
      <c r="I21" s="82">
        <v>50</v>
      </c>
      <c r="J21" s="19">
        <v>13.089005235602095</v>
      </c>
      <c r="K21" s="82">
        <v>332</v>
      </c>
      <c r="L21" s="19">
        <v>86.910994764397913</v>
      </c>
    </row>
    <row r="22" spans="1:14" x14ac:dyDescent="0.3">
      <c r="A22" s="18">
        <v>43405</v>
      </c>
      <c r="B22" t="s">
        <v>105</v>
      </c>
      <c r="C22" t="s">
        <v>7</v>
      </c>
      <c r="D22">
        <v>5</v>
      </c>
      <c r="E22" s="19">
        <f>(WORK_Q1_Monthly_Trend[[#This Row],[Amount]]*100)/SUMIFS(WORK_Q1_Monthly_Trend[Amount],WORK_Q1_Monthly_Trend[Month],WORK_Q1_Monthly_Trend[[#This Row],[Month]])</f>
        <v>2.3563787171874264E-2</v>
      </c>
    </row>
    <row r="23" spans="1:14" x14ac:dyDescent="0.3">
      <c r="A23" s="18">
        <v>43374</v>
      </c>
      <c r="B23" t="s">
        <v>105</v>
      </c>
      <c r="C23" t="s">
        <v>6</v>
      </c>
      <c r="D23">
        <v>7285</v>
      </c>
      <c r="E23" s="19">
        <f>(WORK_Q1_Monthly_Trend[[#This Row],[Amount]]*100)/SUMIFS(WORK_Q1_Monthly_Trend[Amount],WORK_Q1_Monthly_Trend[Month],WORK_Q1_Monthly_Trend[[#This Row],[Month]])</f>
        <v>33.040047167672</v>
      </c>
    </row>
    <row r="24" spans="1:14" x14ac:dyDescent="0.3">
      <c r="A24" s="18">
        <v>43374</v>
      </c>
      <c r="B24" t="s">
        <v>105</v>
      </c>
      <c r="C24" t="s">
        <v>7</v>
      </c>
      <c r="D24">
        <v>2657</v>
      </c>
      <c r="E24" s="19">
        <f>(WORK_Q1_Monthly_Trend[[#This Row],[Amount]]*100)/SUMIFS(WORK_Q1_Monthly_Trend[Amount],WORK_Q1_Monthly_Trend[Month],WORK_Q1_Monthly_Trend[[#This Row],[Month]])</f>
        <v>12.050433126218875</v>
      </c>
    </row>
    <row r="25" spans="1:14" x14ac:dyDescent="0.3">
      <c r="A25" s="18">
        <v>43374</v>
      </c>
      <c r="B25" t="s">
        <v>105</v>
      </c>
      <c r="C25" t="s">
        <v>18</v>
      </c>
      <c r="D25">
        <v>1486</v>
      </c>
      <c r="E25" s="19">
        <f>(WORK_Q1_Monthly_Trend[[#This Row],[Amount]]*100)/SUMIFS(WORK_Q1_Monthly_Trend[Amount],WORK_Q1_Monthly_Trend[Month],WORK_Q1_Monthly_Trend[[#This Row],[Month]])</f>
        <v>6.7395346727742753</v>
      </c>
    </row>
    <row r="26" spans="1:14" x14ac:dyDescent="0.3">
      <c r="A26" s="18">
        <v>43344</v>
      </c>
      <c r="B26" t="s">
        <v>105</v>
      </c>
      <c r="C26" t="s">
        <v>6</v>
      </c>
      <c r="D26">
        <v>6361</v>
      </c>
      <c r="E26" s="19">
        <f>(WORK_Q1_Monthly_Trend[[#This Row],[Amount]]*100)/SUMIFS(WORK_Q1_Monthly_Trend[Amount],WORK_Q1_Monthly_Trend[Month],WORK_Q1_Monthly_Trend[[#This Row],[Month]])</f>
        <v>35.502595300552549</v>
      </c>
    </row>
    <row r="27" spans="1:14" x14ac:dyDescent="0.3">
      <c r="A27" s="18">
        <v>43344</v>
      </c>
      <c r="B27" t="s">
        <v>105</v>
      </c>
      <c r="C27" t="s">
        <v>7</v>
      </c>
      <c r="D27">
        <v>2322</v>
      </c>
      <c r="E27" s="19">
        <f>(WORK_Q1_Monthly_Trend[[#This Row],[Amount]]*100)/SUMIFS(WORK_Q1_Monthly_Trend[Amount],WORK_Q1_Monthly_Trend[Month],WORK_Q1_Monthly_Trend[[#This Row],[Month]])</f>
        <v>12.95975888820673</v>
      </c>
      <c r="H27" s="1" t="s">
        <v>100</v>
      </c>
      <c r="I27" t="s">
        <v>105</v>
      </c>
    </row>
    <row r="28" spans="1:14" x14ac:dyDescent="0.3">
      <c r="A28" s="18">
        <v>43344</v>
      </c>
      <c r="B28" t="s">
        <v>105</v>
      </c>
      <c r="C28" t="s">
        <v>18</v>
      </c>
      <c r="D28">
        <v>4185</v>
      </c>
      <c r="E28" s="19">
        <f>(WORK_Q1_Monthly_Trend[[#This Row],[Amount]]*100)/SUMIFS(WORK_Q1_Monthly_Trend[Amount],WORK_Q1_Monthly_Trend[Month],WORK_Q1_Monthly_Trend[[#This Row],[Month]])</f>
        <v>23.357704972930737</v>
      </c>
    </row>
    <row r="29" spans="1:14" x14ac:dyDescent="0.3">
      <c r="A29" s="18">
        <v>43313</v>
      </c>
      <c r="B29" t="s">
        <v>105</v>
      </c>
      <c r="C29" t="s">
        <v>6</v>
      </c>
      <c r="D29">
        <v>7953</v>
      </c>
      <c r="E29" s="19">
        <f>(WORK_Q1_Monthly_Trend[[#This Row],[Amount]]*100)/SUMIFS(WORK_Q1_Monthly_Trend[Amount],WORK_Q1_Monthly_Trend[Month],WORK_Q1_Monthly_Trend[[#This Row],[Month]])</f>
        <v>39.318732387402974</v>
      </c>
      <c r="I29" s="1" t="s">
        <v>131</v>
      </c>
    </row>
    <row r="30" spans="1:14" x14ac:dyDescent="0.3">
      <c r="A30" s="18">
        <v>43313</v>
      </c>
      <c r="B30" t="s">
        <v>105</v>
      </c>
      <c r="C30" t="s">
        <v>7</v>
      </c>
      <c r="D30">
        <v>1934</v>
      </c>
      <c r="E30" s="19">
        <f>(WORK_Q1_Monthly_Trend[[#This Row],[Amount]]*100)/SUMIFS(WORK_Q1_Monthly_Trend[Amount],WORK_Q1_Monthly_Trend[Month],WORK_Q1_Monthly_Trend[[#This Row],[Month]])</f>
        <v>9.5614772334009004</v>
      </c>
      <c r="I30" t="s">
        <v>6</v>
      </c>
      <c r="K30" t="s">
        <v>7</v>
      </c>
      <c r="M30" t="s">
        <v>18</v>
      </c>
    </row>
    <row r="31" spans="1:14" x14ac:dyDescent="0.3">
      <c r="A31" s="18">
        <v>43313</v>
      </c>
      <c r="B31" t="s">
        <v>105</v>
      </c>
      <c r="C31" t="s">
        <v>18</v>
      </c>
      <c r="D31">
        <v>7060</v>
      </c>
      <c r="E31" s="19">
        <f>(WORK_Q1_Monthly_Trend[[#This Row],[Amount]]*100)/SUMIFS(WORK_Q1_Monthly_Trend[Amount],WORK_Q1_Monthly_Trend[Month],WORK_Q1_Monthly_Trend[[#This Row],[Month]])</f>
        <v>34.903841400108767</v>
      </c>
      <c r="H31" s="1" t="s">
        <v>203</v>
      </c>
      <c r="I31" t="s">
        <v>124</v>
      </c>
      <c r="J31" t="s">
        <v>137</v>
      </c>
      <c r="K31" t="s">
        <v>124</v>
      </c>
      <c r="L31" t="s">
        <v>137</v>
      </c>
      <c r="M31" t="s">
        <v>124</v>
      </c>
      <c r="N31" t="s">
        <v>137</v>
      </c>
    </row>
    <row r="32" spans="1:14" x14ac:dyDescent="0.3">
      <c r="A32" s="18">
        <v>43282</v>
      </c>
      <c r="B32" t="s">
        <v>105</v>
      </c>
      <c r="C32" t="s">
        <v>6</v>
      </c>
      <c r="D32">
        <v>7578</v>
      </c>
      <c r="E32" s="19">
        <f>(WORK_Q1_Monthly_Trend[[#This Row],[Amount]]*100)/SUMIFS(WORK_Q1_Monthly_Trend[Amount],WORK_Q1_Monthly_Trend[Month],WORK_Q1_Monthly_Trend[[#This Row],[Month]])</f>
        <v>35.867095797046574</v>
      </c>
      <c r="H32" s="2" t="s">
        <v>110</v>
      </c>
      <c r="J32" s="19"/>
      <c r="L32" s="19"/>
      <c r="N32" s="19"/>
    </row>
    <row r="33" spans="1:14" x14ac:dyDescent="0.3">
      <c r="A33" s="18">
        <v>43282</v>
      </c>
      <c r="B33" t="s">
        <v>105</v>
      </c>
      <c r="C33" t="s">
        <v>7</v>
      </c>
      <c r="D33">
        <v>3099</v>
      </c>
      <c r="E33" s="19">
        <f>(WORK_Q1_Monthly_Trend[[#This Row],[Amount]]*100)/SUMIFS(WORK_Q1_Monthly_Trend[Amount],WORK_Q1_Monthly_Trend[Month],WORK_Q1_Monthly_Trend[[#This Row],[Month]])</f>
        <v>14.667739492616434</v>
      </c>
      <c r="H33" s="20" t="s">
        <v>112</v>
      </c>
      <c r="I33">
        <v>8004</v>
      </c>
      <c r="J33" s="19">
        <v>43.6</v>
      </c>
      <c r="K33">
        <v>2724</v>
      </c>
      <c r="L33" s="19">
        <v>14.84</v>
      </c>
      <c r="M33">
        <v>7630</v>
      </c>
      <c r="N33" s="19">
        <v>41.56</v>
      </c>
    </row>
    <row r="34" spans="1:14" x14ac:dyDescent="0.3">
      <c r="A34" s="18">
        <v>43282</v>
      </c>
      <c r="B34" t="s">
        <v>105</v>
      </c>
      <c r="C34" t="s">
        <v>18</v>
      </c>
      <c r="D34">
        <v>7512</v>
      </c>
      <c r="E34" s="19">
        <f>(WORK_Q1_Monthly_Trend[[#This Row],[Amount]]*100)/SUMIFS(WORK_Q1_Monthly_Trend[Amount],WORK_Q1_Monthly_Trend[Month],WORK_Q1_Monthly_Trend[[#This Row],[Month]])</f>
        <v>35.554714123438089</v>
      </c>
      <c r="H34" s="20" t="s">
        <v>113</v>
      </c>
      <c r="I34">
        <v>8392</v>
      </c>
      <c r="J34" s="19">
        <v>45.82</v>
      </c>
      <c r="K34">
        <v>2945</v>
      </c>
      <c r="L34" s="19">
        <v>16.079999999999998</v>
      </c>
      <c r="M34">
        <v>6980</v>
      </c>
      <c r="N34" s="19">
        <v>38.11</v>
      </c>
    </row>
    <row r="35" spans="1:14" x14ac:dyDescent="0.3">
      <c r="A35" s="18">
        <v>43252</v>
      </c>
      <c r="B35" t="s">
        <v>105</v>
      </c>
      <c r="C35" t="s">
        <v>6</v>
      </c>
      <c r="D35">
        <v>8130</v>
      </c>
      <c r="E35" s="19">
        <f>(WORK_Q1_Monthly_Trend[[#This Row],[Amount]]*100)/SUMIFS(WORK_Q1_Monthly_Trend[Amount],WORK_Q1_Monthly_Trend[Month],WORK_Q1_Monthly_Trend[[#This Row],[Month]])</f>
        <v>36.21703492516037</v>
      </c>
      <c r="H35" s="20" t="s">
        <v>114</v>
      </c>
      <c r="I35">
        <v>9584</v>
      </c>
      <c r="J35" s="19">
        <v>44.69</v>
      </c>
      <c r="K35">
        <v>2161</v>
      </c>
      <c r="L35" s="19">
        <v>10.08</v>
      </c>
      <c r="M35">
        <v>9700</v>
      </c>
      <c r="N35" s="19">
        <v>45.23</v>
      </c>
    </row>
    <row r="36" spans="1:14" x14ac:dyDescent="0.3">
      <c r="A36" s="18">
        <v>43252</v>
      </c>
      <c r="B36" t="s">
        <v>105</v>
      </c>
      <c r="C36" t="s">
        <v>7</v>
      </c>
      <c r="D36">
        <v>3004</v>
      </c>
      <c r="E36" s="19">
        <f>(WORK_Q1_Monthly_Trend[[#This Row],[Amount]]*100)/SUMIFS(WORK_Q1_Monthly_Trend[Amount],WORK_Q1_Monthly_Trend[Month],WORK_Q1_Monthly_Trend[[#This Row],[Month]])</f>
        <v>13.382038488952245</v>
      </c>
      <c r="H36" s="20" t="s">
        <v>115</v>
      </c>
      <c r="I36">
        <v>8664</v>
      </c>
      <c r="J36" s="19">
        <v>44.17</v>
      </c>
      <c r="K36">
        <v>2625</v>
      </c>
      <c r="L36" s="19">
        <v>13.38</v>
      </c>
      <c r="M36">
        <v>8328</v>
      </c>
      <c r="N36" s="19">
        <v>42.45</v>
      </c>
    </row>
    <row r="37" spans="1:14" x14ac:dyDescent="0.3">
      <c r="A37" s="18">
        <v>43252</v>
      </c>
      <c r="B37" t="s">
        <v>105</v>
      </c>
      <c r="C37" t="s">
        <v>18</v>
      </c>
      <c r="D37">
        <v>8681</v>
      </c>
      <c r="E37" s="19">
        <f>(WORK_Q1_Monthly_Trend[[#This Row],[Amount]]*100)/SUMIFS(WORK_Q1_Monthly_Trend[Amount],WORK_Q1_Monthly_Trend[Month],WORK_Q1_Monthly_Trend[[#This Row],[Month]])</f>
        <v>38.671596578759804</v>
      </c>
      <c r="H37" s="20" t="s">
        <v>116</v>
      </c>
      <c r="I37">
        <v>9072</v>
      </c>
      <c r="J37" s="19">
        <v>45.15</v>
      </c>
      <c r="K37">
        <v>2634</v>
      </c>
      <c r="L37" s="19">
        <v>13.11</v>
      </c>
      <c r="M37">
        <v>8389</v>
      </c>
      <c r="N37" s="19">
        <v>41.75</v>
      </c>
    </row>
    <row r="38" spans="1:14" x14ac:dyDescent="0.3">
      <c r="A38" s="18">
        <v>43221</v>
      </c>
      <c r="B38" t="s">
        <v>105</v>
      </c>
      <c r="C38" t="s">
        <v>6</v>
      </c>
      <c r="D38">
        <v>9072</v>
      </c>
      <c r="E38" s="19">
        <f>(WORK_Q1_Monthly_Trend[[#This Row],[Amount]]*100)/SUMIFS(WORK_Q1_Monthly_Trend[Amount],WORK_Q1_Monthly_Trend[Month],WORK_Q1_Monthly_Trend[[#This Row],[Month]])</f>
        <v>39.404074186682884</v>
      </c>
      <c r="H38" s="20" t="s">
        <v>117</v>
      </c>
      <c r="I38">
        <v>8130</v>
      </c>
      <c r="J38" s="19">
        <v>41.03</v>
      </c>
      <c r="K38">
        <v>3004</v>
      </c>
      <c r="L38" s="19">
        <v>15.16</v>
      </c>
      <c r="M38">
        <v>8681</v>
      </c>
      <c r="N38" s="19">
        <v>43.81</v>
      </c>
    </row>
    <row r="39" spans="1:14" x14ac:dyDescent="0.3">
      <c r="A39" s="18">
        <v>43221</v>
      </c>
      <c r="B39" t="s">
        <v>105</v>
      </c>
      <c r="C39" t="s">
        <v>7</v>
      </c>
      <c r="D39">
        <v>2634</v>
      </c>
      <c r="E39" s="19">
        <f>(WORK_Q1_Monthly_Trend[[#This Row],[Amount]]*100)/SUMIFS(WORK_Q1_Monthly_Trend[Amount],WORK_Q1_Monthly_Trend[Month],WORK_Q1_Monthly_Trend[[#This Row],[Month]])</f>
        <v>11.440733179863615</v>
      </c>
      <c r="H39" s="20" t="s">
        <v>118</v>
      </c>
      <c r="I39">
        <v>7578</v>
      </c>
      <c r="J39" s="19">
        <v>41.66</v>
      </c>
      <c r="K39">
        <v>3099</v>
      </c>
      <c r="L39" s="19">
        <v>17.04</v>
      </c>
      <c r="M39">
        <v>7512</v>
      </c>
      <c r="N39" s="19">
        <v>41.3</v>
      </c>
    </row>
    <row r="40" spans="1:14" x14ac:dyDescent="0.3">
      <c r="A40" s="18">
        <v>43221</v>
      </c>
      <c r="B40" t="s">
        <v>105</v>
      </c>
      <c r="C40" t="s">
        <v>18</v>
      </c>
      <c r="D40">
        <v>8389</v>
      </c>
      <c r="E40" s="19">
        <f>(WORK_Q1_Monthly_Trend[[#This Row],[Amount]]*100)/SUMIFS(WORK_Q1_Monthly_Trend[Amount],WORK_Q1_Monthly_Trend[Month],WORK_Q1_Monthly_Trend[[#This Row],[Month]])</f>
        <v>36.437475567910347</v>
      </c>
      <c r="H40" s="20" t="s">
        <v>119</v>
      </c>
      <c r="I40">
        <v>7953</v>
      </c>
      <c r="J40" s="19">
        <v>46.93</v>
      </c>
      <c r="K40">
        <v>1934</v>
      </c>
      <c r="L40" s="19">
        <v>11.41</v>
      </c>
      <c r="M40">
        <v>7060</v>
      </c>
      <c r="N40" s="19">
        <v>41.66</v>
      </c>
    </row>
    <row r="41" spans="1:14" x14ac:dyDescent="0.3">
      <c r="A41" s="18">
        <v>43191</v>
      </c>
      <c r="B41" t="s">
        <v>105</v>
      </c>
      <c r="C41" t="s">
        <v>6</v>
      </c>
      <c r="D41">
        <v>8664</v>
      </c>
      <c r="E41" s="19">
        <f>(WORK_Q1_Monthly_Trend[[#This Row],[Amount]]*100)/SUMIFS(WORK_Q1_Monthly_Trend[Amount],WORK_Q1_Monthly_Trend[Month],WORK_Q1_Monthly_Trend[[#This Row],[Month]])</f>
        <v>38.697574701862521</v>
      </c>
      <c r="H41" s="20" t="s">
        <v>120</v>
      </c>
      <c r="I41">
        <v>6361</v>
      </c>
      <c r="J41" s="19">
        <v>49.43</v>
      </c>
      <c r="K41">
        <v>2322</v>
      </c>
      <c r="L41" s="19">
        <v>18.04</v>
      </c>
      <c r="M41">
        <v>4185</v>
      </c>
      <c r="N41" s="19">
        <v>32.520000000000003</v>
      </c>
    </row>
    <row r="42" spans="1:14" x14ac:dyDescent="0.3">
      <c r="A42" s="18">
        <v>43191</v>
      </c>
      <c r="B42" t="s">
        <v>105</v>
      </c>
      <c r="C42" t="s">
        <v>7</v>
      </c>
      <c r="D42">
        <v>2625</v>
      </c>
      <c r="E42" s="19">
        <f>(WORK_Q1_Monthly_Trend[[#This Row],[Amount]]*100)/SUMIFS(WORK_Q1_Monthly_Trend[Amount],WORK_Q1_Monthly_Trend[Month],WORK_Q1_Monthly_Trend[[#This Row],[Month]])</f>
        <v>11.724507570682031</v>
      </c>
      <c r="H42" s="20" t="s">
        <v>121</v>
      </c>
      <c r="I42">
        <v>7285</v>
      </c>
      <c r="J42" s="19">
        <v>63.75</v>
      </c>
      <c r="K42">
        <v>2657</v>
      </c>
      <c r="L42" s="19">
        <v>23.25</v>
      </c>
      <c r="M42">
        <v>1486</v>
      </c>
      <c r="N42" s="19">
        <v>13</v>
      </c>
    </row>
    <row r="43" spans="1:14" x14ac:dyDescent="0.3">
      <c r="A43" s="18">
        <v>43191</v>
      </c>
      <c r="B43" t="s">
        <v>105</v>
      </c>
      <c r="C43" t="s">
        <v>18</v>
      </c>
      <c r="D43">
        <v>8328</v>
      </c>
      <c r="E43" s="19">
        <f>(WORK_Q1_Monthly_Trend[[#This Row],[Amount]]*100)/SUMIFS(WORK_Q1_Monthly_Trend[Amount],WORK_Q1_Monthly_Trend[Month],WORK_Q1_Monthly_Trend[[#This Row],[Month]])</f>
        <v>37.196837732815219</v>
      </c>
      <c r="H43" s="20" t="s">
        <v>122</v>
      </c>
      <c r="I43">
        <v>5867</v>
      </c>
      <c r="J43" s="19">
        <v>99.91</v>
      </c>
      <c r="K43">
        <v>5</v>
      </c>
      <c r="L43" s="19">
        <v>0.09</v>
      </c>
      <c r="N43" s="19"/>
    </row>
    <row r="44" spans="1:14" x14ac:dyDescent="0.3">
      <c r="A44" s="18">
        <v>43160</v>
      </c>
      <c r="B44" t="s">
        <v>105</v>
      </c>
      <c r="C44" t="s">
        <v>6</v>
      </c>
      <c r="D44">
        <v>9584</v>
      </c>
      <c r="E44" s="19">
        <f>(WORK_Q1_Monthly_Trend[[#This Row],[Amount]]*100)/SUMIFS(WORK_Q1_Monthly_Trend[Amount],WORK_Q1_Monthly_Trend[Month],WORK_Q1_Monthly_Trend[[#This Row],[Month]])</f>
        <v>38.790626138341359</v>
      </c>
      <c r="H44" s="20" t="s">
        <v>123</v>
      </c>
      <c r="I44">
        <v>676</v>
      </c>
      <c r="J44" s="19">
        <v>100</v>
      </c>
      <c r="L44" s="19"/>
      <c r="N44" s="19"/>
    </row>
    <row r="45" spans="1:14" x14ac:dyDescent="0.3">
      <c r="A45" s="18">
        <v>43160</v>
      </c>
      <c r="B45" t="s">
        <v>105</v>
      </c>
      <c r="C45" t="s">
        <v>7</v>
      </c>
      <c r="D45">
        <v>2161</v>
      </c>
      <c r="E45" s="19">
        <f>(WORK_Q1_Monthly_Trend[[#This Row],[Amount]]*100)/SUMIFS(WORK_Q1_Monthly_Trend[Amount],WORK_Q1_Monthly_Trend[Month],WORK_Q1_Monthly_Trend[[#This Row],[Month]])</f>
        <v>8.7465090864937061</v>
      </c>
      <c r="H45" s="2" t="s">
        <v>111</v>
      </c>
      <c r="J45" s="19"/>
      <c r="L45" s="19"/>
      <c r="N45" s="19"/>
    </row>
    <row r="46" spans="1:14" x14ac:dyDescent="0.3">
      <c r="A46" s="18">
        <v>43160</v>
      </c>
      <c r="B46" t="s">
        <v>105</v>
      </c>
      <c r="C46" t="s">
        <v>18</v>
      </c>
      <c r="D46">
        <v>9700</v>
      </c>
      <c r="E46" s="19">
        <f>(WORK_Q1_Monthly_Trend[[#This Row],[Amount]]*100)/SUMIFS(WORK_Q1_Monthly_Trend[Amount],WORK_Q1_Monthly_Trend[Month],WORK_Q1_Monthly_Trend[[#This Row],[Month]])</f>
        <v>39.260128708463192</v>
      </c>
      <c r="H46" s="20" t="s">
        <v>112</v>
      </c>
      <c r="I46">
        <v>50</v>
      </c>
      <c r="J46" s="19">
        <v>100</v>
      </c>
      <c r="L46" s="19"/>
      <c r="N46" s="19"/>
    </row>
    <row r="47" spans="1:14" x14ac:dyDescent="0.3">
      <c r="A47" s="18">
        <v>43132</v>
      </c>
      <c r="B47" t="s">
        <v>105</v>
      </c>
      <c r="C47" t="s">
        <v>6</v>
      </c>
      <c r="D47">
        <v>8392</v>
      </c>
      <c r="E47" s="19">
        <f>(WORK_Q1_Monthly_Trend[[#This Row],[Amount]]*100)/SUMIFS(WORK_Q1_Monthly_Trend[Amount],WORK_Q1_Monthly_Trend[Month],WORK_Q1_Monthly_Trend[[#This Row],[Month]])</f>
        <v>40.317079029546001</v>
      </c>
    </row>
    <row r="48" spans="1:14" x14ac:dyDescent="0.3">
      <c r="A48" s="18">
        <v>43132</v>
      </c>
      <c r="B48" t="s">
        <v>105</v>
      </c>
      <c r="C48" t="s">
        <v>7</v>
      </c>
      <c r="D48">
        <v>2945</v>
      </c>
      <c r="E48" s="19">
        <f>(WORK_Q1_Monthly_Trend[[#This Row],[Amount]]*100)/SUMIFS(WORK_Q1_Monthly_Trend[Amount],WORK_Q1_Monthly_Trend[Month],WORK_Q1_Monthly_Trend[[#This Row],[Month]])</f>
        <v>14.148450636560172</v>
      </c>
    </row>
    <row r="49" spans="1:5" x14ac:dyDescent="0.3">
      <c r="A49" s="18">
        <v>43132</v>
      </c>
      <c r="B49" t="s">
        <v>105</v>
      </c>
      <c r="C49" t="s">
        <v>18</v>
      </c>
      <c r="D49">
        <v>6980</v>
      </c>
      <c r="E49" s="19">
        <f>(WORK_Q1_Monthly_Trend[[#This Row],[Amount]]*100)/SUMIFS(WORK_Q1_Monthly_Trend[Amount],WORK_Q1_Monthly_Trend[Month],WORK_Q1_Monthly_Trend[[#This Row],[Month]])</f>
        <v>33.53350948834975</v>
      </c>
    </row>
    <row r="50" spans="1:5" x14ac:dyDescent="0.3">
      <c r="A50" s="18">
        <v>43101</v>
      </c>
      <c r="B50" t="s">
        <v>105</v>
      </c>
      <c r="C50" t="s">
        <v>6</v>
      </c>
      <c r="D50">
        <v>8004</v>
      </c>
      <c r="E50" s="19">
        <f>(WORK_Q1_Monthly_Trend[[#This Row],[Amount]]*100)/SUMIFS(WORK_Q1_Monthly_Trend[Amount],WORK_Q1_Monthly_Trend[Month],WORK_Q1_Monthly_Trend[[#This Row],[Month]])</f>
        <v>37.664109924238858</v>
      </c>
    </row>
    <row r="51" spans="1:5" x14ac:dyDescent="0.3">
      <c r="A51" s="18">
        <v>43101</v>
      </c>
      <c r="B51" t="s">
        <v>105</v>
      </c>
      <c r="C51" t="s">
        <v>7</v>
      </c>
      <c r="D51">
        <v>2724</v>
      </c>
      <c r="E51" s="19">
        <f>(WORK_Q1_Monthly_Trend[[#This Row],[Amount]]*100)/SUMIFS(WORK_Q1_Monthly_Trend[Amount],WORK_Q1_Monthly_Trend[Month],WORK_Q1_Monthly_Trend[[#This Row],[Month]])</f>
        <v>12.81822031904381</v>
      </c>
    </row>
    <row r="52" spans="1:5" x14ac:dyDescent="0.3">
      <c r="A52" s="18">
        <v>43101</v>
      </c>
      <c r="B52" t="s">
        <v>105</v>
      </c>
      <c r="C52" t="s">
        <v>18</v>
      </c>
      <c r="D52">
        <v>7630</v>
      </c>
      <c r="E52" s="19">
        <f>(WORK_Q1_Monthly_Trend[[#This Row],[Amount]]*100)/SUMIFS(WORK_Q1_Monthly_Trend[Amount],WORK_Q1_Monthly_Trend[Month],WORK_Q1_Monthly_Trend[[#This Row],[Month]])</f>
        <v>35.90419274387088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C1AD-5A5D-4CEF-BDAA-C1F8EE2CF646}">
  <sheetPr>
    <tabColor theme="6" tint="0.59999389629810485"/>
  </sheetPr>
  <dimension ref="A1:E54"/>
  <sheetViews>
    <sheetView zoomScale="70" zoomScaleNormal="70" workbookViewId="0">
      <selection activeCell="U20" sqref="U20"/>
    </sheetView>
  </sheetViews>
  <sheetFormatPr defaultRowHeight="14.4" x14ac:dyDescent="0.3"/>
  <cols>
    <col min="1" max="1" width="14" customWidth="1"/>
    <col min="2" max="2" width="14.109375" customWidth="1"/>
    <col min="3" max="3" width="12.6640625" customWidth="1"/>
    <col min="4" max="4" width="10.109375" customWidth="1"/>
    <col min="5" max="5" width="7.44140625" customWidth="1"/>
    <col min="8" max="26" width="5" customWidth="1"/>
    <col min="27" max="28" width="6" customWidth="1"/>
    <col min="29" max="29" width="13.5546875" customWidth="1"/>
  </cols>
  <sheetData>
    <row r="1" spans="1:5" s="75" customFormat="1" ht="18" x14ac:dyDescent="0.35">
      <c r="A1" s="74" t="s">
        <v>178</v>
      </c>
    </row>
    <row r="2" spans="1:5" x14ac:dyDescent="0.3">
      <c r="A2" t="s">
        <v>189</v>
      </c>
    </row>
    <row r="3" spans="1:5" x14ac:dyDescent="0.3">
      <c r="A3" t="s">
        <v>13</v>
      </c>
      <c r="B3" t="s">
        <v>100</v>
      </c>
      <c r="C3" t="s">
        <v>2</v>
      </c>
      <c r="D3" t="s">
        <v>3</v>
      </c>
      <c r="E3" t="s">
        <v>4</v>
      </c>
    </row>
    <row r="4" spans="1:5" x14ac:dyDescent="0.3">
      <c r="A4" t="s">
        <v>14</v>
      </c>
      <c r="B4" t="s">
        <v>5</v>
      </c>
      <c r="C4" t="s">
        <v>6</v>
      </c>
      <c r="D4">
        <v>50</v>
      </c>
      <c r="E4">
        <v>100</v>
      </c>
    </row>
    <row r="5" spans="1:5" x14ac:dyDescent="0.3">
      <c r="A5" t="s">
        <v>15</v>
      </c>
      <c r="B5" t="s">
        <v>5</v>
      </c>
      <c r="C5" t="s">
        <v>6</v>
      </c>
      <c r="D5">
        <v>676</v>
      </c>
      <c r="E5">
        <v>100</v>
      </c>
    </row>
    <row r="6" spans="1:5" x14ac:dyDescent="0.3">
      <c r="A6" t="s">
        <v>16</v>
      </c>
      <c r="B6" t="s">
        <v>5</v>
      </c>
      <c r="C6" t="s">
        <v>6</v>
      </c>
      <c r="D6">
        <v>5867</v>
      </c>
      <c r="E6">
        <v>99.91</v>
      </c>
    </row>
    <row r="7" spans="1:5" x14ac:dyDescent="0.3">
      <c r="A7" t="s">
        <v>16</v>
      </c>
      <c r="B7" t="s">
        <v>5</v>
      </c>
      <c r="C7" t="s">
        <v>7</v>
      </c>
      <c r="D7">
        <v>5</v>
      </c>
      <c r="E7">
        <v>0.09</v>
      </c>
    </row>
    <row r="8" spans="1:5" x14ac:dyDescent="0.3">
      <c r="A8" t="s">
        <v>17</v>
      </c>
      <c r="B8" t="s">
        <v>5</v>
      </c>
      <c r="C8" t="s">
        <v>6</v>
      </c>
      <c r="D8">
        <v>7285</v>
      </c>
      <c r="E8">
        <v>63.75</v>
      </c>
    </row>
    <row r="9" spans="1:5" x14ac:dyDescent="0.3">
      <c r="A9" t="s">
        <v>17</v>
      </c>
      <c r="B9" t="s">
        <v>5</v>
      </c>
      <c r="C9" t="s">
        <v>7</v>
      </c>
      <c r="D9">
        <v>2657</v>
      </c>
      <c r="E9">
        <v>23.25</v>
      </c>
    </row>
    <row r="10" spans="1:5" x14ac:dyDescent="0.3">
      <c r="A10" t="s">
        <v>17</v>
      </c>
      <c r="B10" t="s">
        <v>5</v>
      </c>
      <c r="C10" t="s">
        <v>18</v>
      </c>
      <c r="D10">
        <v>1486</v>
      </c>
      <c r="E10">
        <v>13</v>
      </c>
    </row>
    <row r="11" spans="1:5" x14ac:dyDescent="0.3">
      <c r="A11" t="s">
        <v>19</v>
      </c>
      <c r="B11" t="s">
        <v>5</v>
      </c>
      <c r="C11" t="s">
        <v>6</v>
      </c>
      <c r="D11">
        <v>6361</v>
      </c>
      <c r="E11">
        <v>49.43</v>
      </c>
    </row>
    <row r="12" spans="1:5" x14ac:dyDescent="0.3">
      <c r="A12" t="s">
        <v>19</v>
      </c>
      <c r="B12" t="s">
        <v>5</v>
      </c>
      <c r="C12" t="s">
        <v>7</v>
      </c>
      <c r="D12">
        <v>2322</v>
      </c>
      <c r="E12">
        <v>18.04</v>
      </c>
    </row>
    <row r="13" spans="1:5" x14ac:dyDescent="0.3">
      <c r="A13" t="s">
        <v>19</v>
      </c>
      <c r="B13" t="s">
        <v>5</v>
      </c>
      <c r="C13" t="s">
        <v>18</v>
      </c>
      <c r="D13">
        <v>4185</v>
      </c>
      <c r="E13">
        <v>32.520000000000003</v>
      </c>
    </row>
    <row r="14" spans="1:5" x14ac:dyDescent="0.3">
      <c r="A14" t="s">
        <v>20</v>
      </c>
      <c r="B14" t="s">
        <v>5</v>
      </c>
      <c r="C14" t="s">
        <v>6</v>
      </c>
      <c r="D14">
        <v>7953</v>
      </c>
      <c r="E14">
        <v>46.93</v>
      </c>
    </row>
    <row r="15" spans="1:5" x14ac:dyDescent="0.3">
      <c r="A15" t="s">
        <v>20</v>
      </c>
      <c r="B15" t="s">
        <v>5</v>
      </c>
      <c r="C15" t="s">
        <v>7</v>
      </c>
      <c r="D15">
        <v>1934</v>
      </c>
      <c r="E15">
        <v>11.41</v>
      </c>
    </row>
    <row r="16" spans="1:5" x14ac:dyDescent="0.3">
      <c r="A16" t="s">
        <v>20</v>
      </c>
      <c r="B16" t="s">
        <v>5</v>
      </c>
      <c r="C16" t="s">
        <v>18</v>
      </c>
      <c r="D16">
        <v>7060</v>
      </c>
      <c r="E16">
        <v>41.66</v>
      </c>
    </row>
    <row r="17" spans="1:5" x14ac:dyDescent="0.3">
      <c r="A17" t="s">
        <v>21</v>
      </c>
      <c r="B17" t="s">
        <v>5</v>
      </c>
      <c r="C17" t="s">
        <v>6</v>
      </c>
      <c r="D17">
        <v>7578</v>
      </c>
      <c r="E17">
        <v>41.66</v>
      </c>
    </row>
    <row r="18" spans="1:5" x14ac:dyDescent="0.3">
      <c r="A18" t="s">
        <v>21</v>
      </c>
      <c r="B18" t="s">
        <v>5</v>
      </c>
      <c r="C18" t="s">
        <v>7</v>
      </c>
      <c r="D18">
        <v>3099</v>
      </c>
      <c r="E18">
        <v>17.04</v>
      </c>
    </row>
    <row r="19" spans="1:5" x14ac:dyDescent="0.3">
      <c r="A19" t="s">
        <v>21</v>
      </c>
      <c r="B19" t="s">
        <v>5</v>
      </c>
      <c r="C19" t="s">
        <v>18</v>
      </c>
      <c r="D19">
        <v>7512</v>
      </c>
      <c r="E19">
        <v>41.3</v>
      </c>
    </row>
    <row r="20" spans="1:5" x14ac:dyDescent="0.3">
      <c r="A20" t="s">
        <v>22</v>
      </c>
      <c r="B20" t="s">
        <v>5</v>
      </c>
      <c r="C20" t="s">
        <v>6</v>
      </c>
      <c r="D20">
        <v>8130</v>
      </c>
      <c r="E20">
        <v>41.03</v>
      </c>
    </row>
    <row r="21" spans="1:5" x14ac:dyDescent="0.3">
      <c r="A21" t="s">
        <v>22</v>
      </c>
      <c r="B21" t="s">
        <v>5</v>
      </c>
      <c r="C21" t="s">
        <v>7</v>
      </c>
      <c r="D21">
        <v>3004</v>
      </c>
      <c r="E21">
        <v>15.16</v>
      </c>
    </row>
    <row r="22" spans="1:5" x14ac:dyDescent="0.3">
      <c r="A22" t="s">
        <v>22</v>
      </c>
      <c r="B22" t="s">
        <v>5</v>
      </c>
      <c r="C22" t="s">
        <v>18</v>
      </c>
      <c r="D22">
        <v>8681</v>
      </c>
      <c r="E22">
        <v>43.81</v>
      </c>
    </row>
    <row r="23" spans="1:5" x14ac:dyDescent="0.3">
      <c r="A23" t="s">
        <v>23</v>
      </c>
      <c r="B23" t="s">
        <v>5</v>
      </c>
      <c r="C23" t="s">
        <v>6</v>
      </c>
      <c r="D23">
        <v>9072</v>
      </c>
      <c r="E23">
        <v>45.15</v>
      </c>
    </row>
    <row r="24" spans="1:5" x14ac:dyDescent="0.3">
      <c r="A24" t="s">
        <v>23</v>
      </c>
      <c r="B24" t="s">
        <v>5</v>
      </c>
      <c r="C24" t="s">
        <v>7</v>
      </c>
      <c r="D24">
        <v>2634</v>
      </c>
      <c r="E24">
        <v>13.11</v>
      </c>
    </row>
    <row r="25" spans="1:5" x14ac:dyDescent="0.3">
      <c r="A25" t="s">
        <v>23</v>
      </c>
      <c r="B25" t="s">
        <v>5</v>
      </c>
      <c r="C25" t="s">
        <v>18</v>
      </c>
      <c r="D25">
        <v>8389</v>
      </c>
      <c r="E25">
        <v>41.75</v>
      </c>
    </row>
    <row r="26" spans="1:5" x14ac:dyDescent="0.3">
      <c r="A26" t="s">
        <v>24</v>
      </c>
      <c r="B26" t="s">
        <v>5</v>
      </c>
      <c r="C26" t="s">
        <v>6</v>
      </c>
      <c r="D26">
        <v>8664</v>
      </c>
      <c r="E26">
        <v>44.17</v>
      </c>
    </row>
    <row r="27" spans="1:5" x14ac:dyDescent="0.3">
      <c r="A27" t="s">
        <v>24</v>
      </c>
      <c r="B27" t="s">
        <v>5</v>
      </c>
      <c r="C27" t="s">
        <v>7</v>
      </c>
      <c r="D27">
        <v>2625</v>
      </c>
      <c r="E27">
        <v>13.38</v>
      </c>
    </row>
    <row r="28" spans="1:5" x14ac:dyDescent="0.3">
      <c r="A28" t="s">
        <v>24</v>
      </c>
      <c r="B28" t="s">
        <v>5</v>
      </c>
      <c r="C28" t="s">
        <v>18</v>
      </c>
      <c r="D28">
        <v>8328</v>
      </c>
      <c r="E28">
        <v>42.45</v>
      </c>
    </row>
    <row r="29" spans="1:5" x14ac:dyDescent="0.3">
      <c r="A29" t="s">
        <v>25</v>
      </c>
      <c r="B29" t="s">
        <v>5</v>
      </c>
      <c r="C29" t="s">
        <v>6</v>
      </c>
      <c r="D29">
        <v>9584</v>
      </c>
      <c r="E29">
        <v>44.69</v>
      </c>
    </row>
    <row r="30" spans="1:5" x14ac:dyDescent="0.3">
      <c r="A30" t="s">
        <v>25</v>
      </c>
      <c r="B30" t="s">
        <v>5</v>
      </c>
      <c r="C30" t="s">
        <v>7</v>
      </c>
      <c r="D30">
        <v>2161</v>
      </c>
      <c r="E30">
        <v>10.08</v>
      </c>
    </row>
    <row r="31" spans="1:5" x14ac:dyDescent="0.3">
      <c r="A31" t="s">
        <v>25</v>
      </c>
      <c r="B31" t="s">
        <v>5</v>
      </c>
      <c r="C31" t="s">
        <v>18</v>
      </c>
      <c r="D31">
        <v>9700</v>
      </c>
      <c r="E31">
        <v>45.23</v>
      </c>
    </row>
    <row r="32" spans="1:5" x14ac:dyDescent="0.3">
      <c r="A32" t="s">
        <v>26</v>
      </c>
      <c r="B32" t="s">
        <v>5</v>
      </c>
      <c r="C32" t="s">
        <v>6</v>
      </c>
      <c r="D32">
        <v>8392</v>
      </c>
      <c r="E32">
        <v>45.82</v>
      </c>
    </row>
    <row r="33" spans="1:5" x14ac:dyDescent="0.3">
      <c r="A33" t="s">
        <v>26</v>
      </c>
      <c r="B33" t="s">
        <v>5</v>
      </c>
      <c r="C33" t="s">
        <v>7</v>
      </c>
      <c r="D33">
        <v>2945</v>
      </c>
      <c r="E33">
        <v>16.079999999999998</v>
      </c>
    </row>
    <row r="34" spans="1:5" x14ac:dyDescent="0.3">
      <c r="A34" t="s">
        <v>26</v>
      </c>
      <c r="B34" t="s">
        <v>5</v>
      </c>
      <c r="C34" t="s">
        <v>18</v>
      </c>
      <c r="D34">
        <v>6980</v>
      </c>
      <c r="E34">
        <v>38.11</v>
      </c>
    </row>
    <row r="35" spans="1:5" x14ac:dyDescent="0.3">
      <c r="A35" t="s">
        <v>27</v>
      </c>
      <c r="B35" t="s">
        <v>5</v>
      </c>
      <c r="C35" t="s">
        <v>6</v>
      </c>
      <c r="D35">
        <v>8004</v>
      </c>
      <c r="E35">
        <v>43.6</v>
      </c>
    </row>
    <row r="36" spans="1:5" x14ac:dyDescent="0.3">
      <c r="A36" t="s">
        <v>27</v>
      </c>
      <c r="B36" t="s">
        <v>5</v>
      </c>
      <c r="C36" t="s">
        <v>7</v>
      </c>
      <c r="D36">
        <v>2724</v>
      </c>
      <c r="E36">
        <v>14.84</v>
      </c>
    </row>
    <row r="37" spans="1:5" x14ac:dyDescent="0.3">
      <c r="A37" t="s">
        <v>27</v>
      </c>
      <c r="B37" t="s">
        <v>5</v>
      </c>
      <c r="C37" t="s">
        <v>18</v>
      </c>
      <c r="D37">
        <v>7630</v>
      </c>
      <c r="E37">
        <v>41.56</v>
      </c>
    </row>
    <row r="39" spans="1:5" x14ac:dyDescent="0.3">
      <c r="A39" t="s">
        <v>13</v>
      </c>
      <c r="B39" t="s">
        <v>100</v>
      </c>
      <c r="C39" t="s">
        <v>2</v>
      </c>
      <c r="D39" t="s">
        <v>3</v>
      </c>
      <c r="E39" t="s">
        <v>4</v>
      </c>
    </row>
    <row r="40" spans="1:5" x14ac:dyDescent="0.3">
      <c r="A40" t="s">
        <v>14</v>
      </c>
      <c r="B40" t="s">
        <v>12</v>
      </c>
      <c r="C40" t="s">
        <v>6</v>
      </c>
      <c r="D40">
        <v>332</v>
      </c>
      <c r="E40">
        <v>100</v>
      </c>
    </row>
    <row r="41" spans="1:5" x14ac:dyDescent="0.3">
      <c r="A41" t="s">
        <v>15</v>
      </c>
      <c r="B41" t="s">
        <v>12</v>
      </c>
      <c r="C41" t="s">
        <v>6</v>
      </c>
      <c r="D41">
        <v>13503</v>
      </c>
      <c r="E41">
        <v>100</v>
      </c>
    </row>
    <row r="42" spans="1:5" x14ac:dyDescent="0.3">
      <c r="A42" t="s">
        <v>16</v>
      </c>
      <c r="B42" t="s">
        <v>12</v>
      </c>
      <c r="C42" t="s">
        <v>6</v>
      </c>
      <c r="D42">
        <v>14474</v>
      </c>
      <c r="E42">
        <v>94.31</v>
      </c>
    </row>
    <row r="43" spans="1:5" x14ac:dyDescent="0.3">
      <c r="A43" t="s">
        <v>16</v>
      </c>
      <c r="B43" t="s">
        <v>12</v>
      </c>
      <c r="C43" t="s">
        <v>7</v>
      </c>
      <c r="D43">
        <v>873</v>
      </c>
      <c r="E43">
        <v>5.69</v>
      </c>
    </row>
    <row r="44" spans="1:5" x14ac:dyDescent="0.3">
      <c r="A44" t="s">
        <v>17</v>
      </c>
      <c r="B44" t="s">
        <v>12</v>
      </c>
      <c r="C44" t="s">
        <v>7</v>
      </c>
      <c r="D44">
        <v>4613</v>
      </c>
      <c r="E44">
        <v>43.43</v>
      </c>
    </row>
    <row r="45" spans="1:5" x14ac:dyDescent="0.3">
      <c r="A45" t="s">
        <v>17</v>
      </c>
      <c r="B45" t="s">
        <v>12</v>
      </c>
      <c r="C45" t="s">
        <v>18</v>
      </c>
      <c r="D45">
        <v>6008</v>
      </c>
      <c r="E45">
        <v>56.57</v>
      </c>
    </row>
    <row r="46" spans="1:5" x14ac:dyDescent="0.3">
      <c r="A46" t="s">
        <v>19</v>
      </c>
      <c r="B46" t="s">
        <v>12</v>
      </c>
      <c r="C46" t="s">
        <v>18</v>
      </c>
      <c r="D46">
        <f>2366+2683</f>
        <v>5049</v>
      </c>
      <c r="E46">
        <v>100</v>
      </c>
    </row>
    <row r="47" spans="1:5" x14ac:dyDescent="0.3">
      <c r="A47" t="s">
        <v>20</v>
      </c>
      <c r="B47" t="s">
        <v>12</v>
      </c>
      <c r="C47" t="s">
        <v>18</v>
      </c>
      <c r="D47">
        <v>3280</v>
      </c>
      <c r="E47">
        <v>100</v>
      </c>
    </row>
    <row r="48" spans="1:5" x14ac:dyDescent="0.3">
      <c r="A48" t="s">
        <v>21</v>
      </c>
      <c r="B48" t="s">
        <v>12</v>
      </c>
      <c r="C48" t="s">
        <v>18</v>
      </c>
      <c r="D48">
        <v>2939</v>
      </c>
      <c r="E48">
        <v>100</v>
      </c>
    </row>
    <row r="49" spans="1:5" x14ac:dyDescent="0.3">
      <c r="A49" t="s">
        <v>22</v>
      </c>
      <c r="B49" t="s">
        <v>12</v>
      </c>
      <c r="C49" t="s">
        <v>18</v>
      </c>
      <c r="D49">
        <v>2633</v>
      </c>
      <c r="E49">
        <v>100</v>
      </c>
    </row>
    <row r="50" spans="1:5" x14ac:dyDescent="0.3">
      <c r="A50" t="s">
        <v>23</v>
      </c>
      <c r="B50" t="s">
        <v>12</v>
      </c>
      <c r="C50" t="s">
        <v>18</v>
      </c>
      <c r="D50">
        <v>2928</v>
      </c>
      <c r="E50">
        <v>100</v>
      </c>
    </row>
    <row r="51" spans="1:5" x14ac:dyDescent="0.3">
      <c r="A51" t="s">
        <v>24</v>
      </c>
      <c r="B51" t="s">
        <v>12</v>
      </c>
      <c r="C51" t="s">
        <v>18</v>
      </c>
      <c r="D51">
        <v>2772</v>
      </c>
      <c r="E51">
        <v>100</v>
      </c>
    </row>
    <row r="52" spans="1:5" x14ac:dyDescent="0.3">
      <c r="A52" t="s">
        <v>25</v>
      </c>
      <c r="B52" t="s">
        <v>12</v>
      </c>
      <c r="C52" t="s">
        <v>18</v>
      </c>
      <c r="D52">
        <v>3262</v>
      </c>
      <c r="E52">
        <v>100</v>
      </c>
    </row>
    <row r="53" spans="1:5" x14ac:dyDescent="0.3">
      <c r="A53" t="s">
        <v>26</v>
      </c>
      <c r="B53" t="s">
        <v>12</v>
      </c>
      <c r="C53" t="s">
        <v>18</v>
      </c>
      <c r="D53">
        <v>2498</v>
      </c>
      <c r="E53">
        <v>100</v>
      </c>
    </row>
    <row r="54" spans="1:5" x14ac:dyDescent="0.3">
      <c r="A54" t="s">
        <v>27</v>
      </c>
      <c r="B54" t="s">
        <v>12</v>
      </c>
      <c r="C54" t="s">
        <v>18</v>
      </c>
      <c r="D54">
        <v>2893</v>
      </c>
      <c r="E54">
        <v>100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A25C-CD20-4679-A050-2802A65256C7}">
  <dimension ref="A1:E19"/>
  <sheetViews>
    <sheetView workbookViewId="0"/>
  </sheetViews>
  <sheetFormatPr defaultRowHeight="14.4" x14ac:dyDescent="0.3"/>
  <cols>
    <col min="1" max="1" width="13.77734375" bestFit="1" customWidth="1"/>
    <col min="2" max="2" width="14.109375" bestFit="1" customWidth="1"/>
    <col min="3" max="3" width="12.77734375" bestFit="1" customWidth="1"/>
    <col min="4" max="4" width="10.109375" bestFit="1" customWidth="1"/>
    <col min="5" max="5" width="7.5546875" bestFit="1" customWidth="1"/>
  </cols>
  <sheetData>
    <row r="1" spans="1:5" x14ac:dyDescent="0.3">
      <c r="A1" t="s">
        <v>13</v>
      </c>
      <c r="B1" t="s">
        <v>100</v>
      </c>
      <c r="C1" t="s">
        <v>2</v>
      </c>
      <c r="D1" t="s">
        <v>3</v>
      </c>
      <c r="E1" t="s">
        <v>4</v>
      </c>
    </row>
    <row r="2" spans="1:5" x14ac:dyDescent="0.3">
      <c r="A2" t="s">
        <v>28</v>
      </c>
      <c r="B2" t="s">
        <v>5</v>
      </c>
      <c r="C2" t="s">
        <v>6</v>
      </c>
      <c r="D2">
        <v>1</v>
      </c>
      <c r="E2">
        <v>100</v>
      </c>
    </row>
    <row r="3" spans="1:5" x14ac:dyDescent="0.3">
      <c r="A3" t="s">
        <v>29</v>
      </c>
      <c r="B3" t="s">
        <v>5</v>
      </c>
      <c r="C3" t="s">
        <v>6</v>
      </c>
      <c r="D3">
        <v>35</v>
      </c>
      <c r="E3">
        <v>100</v>
      </c>
    </row>
    <row r="4" spans="1:5" x14ac:dyDescent="0.3">
      <c r="A4" t="s">
        <v>14</v>
      </c>
      <c r="B4" t="s">
        <v>5</v>
      </c>
      <c r="C4" t="s">
        <v>6</v>
      </c>
      <c r="D4">
        <v>14</v>
      </c>
      <c r="E4">
        <v>100</v>
      </c>
    </row>
    <row r="5" spans="1:5" x14ac:dyDescent="0.3">
      <c r="A5" t="s">
        <v>30</v>
      </c>
      <c r="B5" t="s">
        <v>5</v>
      </c>
      <c r="C5" t="s">
        <v>6</v>
      </c>
      <c r="D5">
        <v>5</v>
      </c>
      <c r="E5">
        <v>100</v>
      </c>
    </row>
    <row r="6" spans="1:5" x14ac:dyDescent="0.3">
      <c r="A6" t="s">
        <v>31</v>
      </c>
      <c r="B6" t="s">
        <v>5</v>
      </c>
      <c r="C6" t="s">
        <v>6</v>
      </c>
      <c r="D6">
        <v>162</v>
      </c>
      <c r="E6">
        <v>100</v>
      </c>
    </row>
    <row r="7" spans="1:5" x14ac:dyDescent="0.3">
      <c r="A7" t="s">
        <v>32</v>
      </c>
      <c r="B7" t="s">
        <v>5</v>
      </c>
      <c r="C7" t="s">
        <v>6</v>
      </c>
      <c r="D7">
        <v>243</v>
      </c>
      <c r="E7">
        <v>100</v>
      </c>
    </row>
    <row r="8" spans="1:5" x14ac:dyDescent="0.3">
      <c r="A8" t="s">
        <v>33</v>
      </c>
      <c r="B8" t="s">
        <v>5</v>
      </c>
      <c r="C8" t="s">
        <v>6</v>
      </c>
      <c r="D8">
        <v>266</v>
      </c>
      <c r="E8">
        <v>100</v>
      </c>
    </row>
    <row r="9" spans="1:5" x14ac:dyDescent="0.3">
      <c r="A9" t="s">
        <v>34</v>
      </c>
      <c r="B9" t="s">
        <v>5</v>
      </c>
      <c r="C9" t="s">
        <v>6</v>
      </c>
      <c r="D9">
        <v>929</v>
      </c>
      <c r="E9">
        <v>100</v>
      </c>
    </row>
    <row r="10" spans="1:5" x14ac:dyDescent="0.3">
      <c r="A10" t="s">
        <v>35</v>
      </c>
      <c r="B10" t="s">
        <v>5</v>
      </c>
      <c r="C10" t="s">
        <v>6</v>
      </c>
      <c r="D10">
        <v>1188</v>
      </c>
      <c r="E10">
        <v>100</v>
      </c>
    </row>
    <row r="11" spans="1:5" x14ac:dyDescent="0.3">
      <c r="A11" t="s">
        <v>36</v>
      </c>
      <c r="B11" t="s">
        <v>5</v>
      </c>
      <c r="C11" t="s">
        <v>6</v>
      </c>
      <c r="D11">
        <v>1533</v>
      </c>
      <c r="E11">
        <v>100</v>
      </c>
    </row>
    <row r="12" spans="1:5" x14ac:dyDescent="0.3">
      <c r="A12" t="s">
        <v>37</v>
      </c>
      <c r="B12" t="s">
        <v>5</v>
      </c>
      <c r="C12" t="s">
        <v>6</v>
      </c>
      <c r="D12">
        <v>1672</v>
      </c>
      <c r="E12">
        <v>100</v>
      </c>
    </row>
    <row r="13" spans="1:5" x14ac:dyDescent="0.3">
      <c r="A13" t="s">
        <v>38</v>
      </c>
      <c r="B13" t="s">
        <v>5</v>
      </c>
      <c r="C13" t="s">
        <v>6</v>
      </c>
      <c r="D13">
        <v>1692</v>
      </c>
      <c r="E13">
        <v>99.47</v>
      </c>
    </row>
    <row r="14" spans="1:5" x14ac:dyDescent="0.3">
      <c r="A14" t="s">
        <v>38</v>
      </c>
      <c r="B14" t="s">
        <v>5</v>
      </c>
      <c r="C14" t="s">
        <v>7</v>
      </c>
      <c r="D14">
        <v>9</v>
      </c>
      <c r="E14">
        <v>0.53</v>
      </c>
    </row>
    <row r="15" spans="1:5" x14ac:dyDescent="0.3">
      <c r="A15" t="s">
        <v>39</v>
      </c>
      <c r="B15" t="s">
        <v>5</v>
      </c>
      <c r="C15" t="s">
        <v>6</v>
      </c>
      <c r="D15">
        <v>1829</v>
      </c>
      <c r="E15">
        <v>80.430000000000007</v>
      </c>
    </row>
    <row r="16" spans="1:5" x14ac:dyDescent="0.3">
      <c r="A16" t="s">
        <v>39</v>
      </c>
      <c r="B16" t="s">
        <v>5</v>
      </c>
      <c r="C16" t="s">
        <v>7</v>
      </c>
      <c r="D16">
        <v>445</v>
      </c>
      <c r="E16">
        <v>19.57</v>
      </c>
    </row>
    <row r="17" spans="1:5" x14ac:dyDescent="0.3">
      <c r="A17" t="s">
        <v>40</v>
      </c>
      <c r="B17" t="s">
        <v>5</v>
      </c>
      <c r="C17" t="s">
        <v>6</v>
      </c>
      <c r="D17">
        <v>617</v>
      </c>
      <c r="E17">
        <v>57.93</v>
      </c>
    </row>
    <row r="18" spans="1:5" x14ac:dyDescent="0.3">
      <c r="A18" t="s">
        <v>40</v>
      </c>
      <c r="B18" t="s">
        <v>5</v>
      </c>
      <c r="C18" t="s">
        <v>7</v>
      </c>
      <c r="D18">
        <v>435</v>
      </c>
      <c r="E18">
        <v>40.85</v>
      </c>
    </row>
    <row r="19" spans="1:5" x14ac:dyDescent="0.3">
      <c r="A19" t="s">
        <v>40</v>
      </c>
      <c r="B19" t="s">
        <v>5</v>
      </c>
      <c r="C19" t="s">
        <v>18</v>
      </c>
      <c r="D19">
        <v>13</v>
      </c>
      <c r="E19">
        <v>1.22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2407-43F9-47C1-94E1-8A2CD10CE61A}">
  <dimension ref="A1:S48"/>
  <sheetViews>
    <sheetView zoomScale="70" zoomScaleNormal="70" workbookViewId="0">
      <selection activeCell="P14" sqref="P14"/>
    </sheetView>
  </sheetViews>
  <sheetFormatPr defaultRowHeight="14.4" x14ac:dyDescent="0.3"/>
  <cols>
    <col min="1" max="1" width="6.88671875" bestFit="1" customWidth="1"/>
    <col min="2" max="2" width="8" bestFit="1" customWidth="1"/>
    <col min="3" max="3" width="14.109375" bestFit="1" customWidth="1"/>
    <col min="4" max="4" width="12.77734375" bestFit="1" customWidth="1"/>
    <col min="5" max="5" width="10.109375" style="19" bestFit="1" customWidth="1"/>
    <col min="6" max="6" width="7.5546875" style="19" bestFit="1" customWidth="1"/>
    <col min="7" max="7" width="18.88671875" style="19" bestFit="1" customWidth="1"/>
    <col min="10" max="10" width="13.44140625" bestFit="1" customWidth="1"/>
    <col min="11" max="11" width="16.44140625" bestFit="1" customWidth="1"/>
    <col min="12" max="12" width="7.6640625" bestFit="1" customWidth="1"/>
    <col min="13" max="13" width="10.6640625" bestFit="1" customWidth="1"/>
    <col min="14" max="14" width="7.6640625" bestFit="1" customWidth="1"/>
    <col min="15" max="15" width="10.6640625" bestFit="1" customWidth="1"/>
    <col min="16" max="16" width="7.6640625" bestFit="1" customWidth="1"/>
    <col min="17" max="17" width="7.6640625" customWidth="1"/>
    <col min="19" max="19" width="6" bestFit="1" customWidth="1"/>
    <col min="20" max="20" width="10.5546875" bestFit="1" customWidth="1"/>
    <col min="21" max="21" width="6" bestFit="1" customWidth="1"/>
    <col min="22" max="22" width="10.5546875" bestFit="1" customWidth="1"/>
    <col min="23" max="23" width="6" bestFit="1" customWidth="1"/>
  </cols>
  <sheetData>
    <row r="1" spans="1:19" ht="17.399999999999999" customHeight="1" x14ac:dyDescent="0.35">
      <c r="A1" s="74" t="s">
        <v>180</v>
      </c>
      <c r="B1" s="75"/>
      <c r="C1" s="75"/>
      <c r="D1" s="75"/>
      <c r="E1" s="75"/>
      <c r="F1" s="75"/>
      <c r="G1" s="75"/>
      <c r="J1" s="74" t="s">
        <v>179</v>
      </c>
      <c r="K1" s="75"/>
      <c r="L1" s="75"/>
      <c r="M1" s="75"/>
      <c r="S1" s="74" t="s">
        <v>181</v>
      </c>
    </row>
    <row r="2" spans="1:19" x14ac:dyDescent="0.3">
      <c r="A2" t="s">
        <v>188</v>
      </c>
    </row>
    <row r="3" spans="1:19" x14ac:dyDescent="0.3">
      <c r="A3" t="s">
        <v>127</v>
      </c>
      <c r="B3" t="s">
        <v>125</v>
      </c>
      <c r="C3" t="s">
        <v>100</v>
      </c>
      <c r="D3" t="s">
        <v>2</v>
      </c>
      <c r="E3" t="s">
        <v>3</v>
      </c>
      <c r="F3" s="19" t="s">
        <v>4</v>
      </c>
      <c r="G3" s="19" t="s">
        <v>126</v>
      </c>
    </row>
    <row r="4" spans="1:19" x14ac:dyDescent="0.3">
      <c r="A4">
        <v>2019</v>
      </c>
      <c r="B4">
        <v>3</v>
      </c>
      <c r="C4" t="s">
        <v>106</v>
      </c>
      <c r="D4" t="s">
        <v>6</v>
      </c>
      <c r="E4">
        <v>59</v>
      </c>
      <c r="F4" s="19">
        <v>100</v>
      </c>
      <c r="G4" s="19">
        <f>(WORK_Q1_Weekly_Trend[[#This Row],[Amount]]*100)/SUMIFS(WORK_Q1_Weekly_Trend[Amount],WORK_Q1_Weekly_Trend[Week],WORK_Q1_Weekly_Trend[[#This Row],[Week]])</f>
        <v>98.333333333333329</v>
      </c>
      <c r="K4" s="1" t="s">
        <v>183</v>
      </c>
    </row>
    <row r="5" spans="1:19" x14ac:dyDescent="0.3">
      <c r="A5">
        <v>2019</v>
      </c>
      <c r="B5">
        <v>2</v>
      </c>
      <c r="C5" t="s">
        <v>106</v>
      </c>
      <c r="D5" t="s">
        <v>6</v>
      </c>
      <c r="E5">
        <v>183</v>
      </c>
      <c r="F5" s="19">
        <v>100</v>
      </c>
      <c r="G5" s="19">
        <f>(WORK_Q1_Weekly_Trend[[#This Row],[Amount]]*100)/SUMIFS(WORK_Q1_Weekly_Trend[Amount],WORK_Q1_Weekly_Trend[Week],WORK_Q1_Weekly_Trend[[#This Row],[Week]])</f>
        <v>83.944954128440372</v>
      </c>
      <c r="K5" t="s">
        <v>105</v>
      </c>
      <c r="M5" t="s">
        <v>106</v>
      </c>
    </row>
    <row r="6" spans="1:19" x14ac:dyDescent="0.3">
      <c r="A6">
        <v>2019</v>
      </c>
      <c r="B6">
        <v>1</v>
      </c>
      <c r="C6" t="s">
        <v>106</v>
      </c>
      <c r="D6" t="s">
        <v>6</v>
      </c>
      <c r="E6">
        <v>90</v>
      </c>
      <c r="F6" s="19">
        <v>100</v>
      </c>
      <c r="G6" s="19">
        <f>(WORK_Q1_Weekly_Trend[[#This Row],[Amount]]*100)/SUMIFS(WORK_Q1_Weekly_Trend[Amount],WORK_Q1_Weekly_Trend[Week],WORK_Q1_Weekly_Trend[[#This Row],[Week]])</f>
        <v>86.538461538461533</v>
      </c>
      <c r="J6" s="1" t="s">
        <v>200</v>
      </c>
      <c r="K6" t="s">
        <v>124</v>
      </c>
      <c r="L6" t="s">
        <v>185</v>
      </c>
      <c r="M6" t="s">
        <v>124</v>
      </c>
      <c r="N6" t="s">
        <v>185</v>
      </c>
    </row>
    <row r="7" spans="1:19" x14ac:dyDescent="0.3">
      <c r="A7">
        <v>2018</v>
      </c>
      <c r="B7">
        <v>52</v>
      </c>
      <c r="C7" t="s">
        <v>106</v>
      </c>
      <c r="D7" t="s">
        <v>6</v>
      </c>
      <c r="E7">
        <v>245</v>
      </c>
      <c r="F7" s="19">
        <v>100</v>
      </c>
      <c r="G7" s="19">
        <f>(WORK_Q1_Weekly_Trend[[#This Row],[Amount]]*100)/SUMIFS(WORK_Q1_Weekly_Trend[Amount],WORK_Q1_Weekly_Trend[Week],WORK_Q1_Weekly_Trend[[#This Row],[Week]])</f>
        <v>98</v>
      </c>
      <c r="J7" s="2">
        <v>2018</v>
      </c>
      <c r="L7" s="19"/>
      <c r="N7" s="19"/>
    </row>
    <row r="8" spans="1:19" x14ac:dyDescent="0.3">
      <c r="A8">
        <v>2018</v>
      </c>
      <c r="B8">
        <v>51</v>
      </c>
      <c r="C8" t="s">
        <v>106</v>
      </c>
      <c r="D8" t="s">
        <v>6</v>
      </c>
      <c r="E8">
        <v>4107</v>
      </c>
      <c r="F8" s="19">
        <v>100</v>
      </c>
      <c r="G8" s="19">
        <f>(WORK_Q1_Weekly_Trend[[#This Row],[Amount]]*100)/SUMIFS(WORK_Q1_Weekly_Trend[Amount],WORK_Q1_Weekly_Trend[Week],WORK_Q1_Weekly_Trend[[#This Row],[Week]])</f>
        <v>96.205200281096282</v>
      </c>
      <c r="J8" s="20">
        <v>42</v>
      </c>
      <c r="K8">
        <v>1065</v>
      </c>
      <c r="L8" s="19">
        <v>51.103646833013435</v>
      </c>
      <c r="M8">
        <v>1019</v>
      </c>
      <c r="N8" s="19">
        <v>48.896353166986565</v>
      </c>
    </row>
    <row r="9" spans="1:19" x14ac:dyDescent="0.3">
      <c r="A9">
        <v>2018</v>
      </c>
      <c r="B9">
        <v>50</v>
      </c>
      <c r="C9" t="s">
        <v>106</v>
      </c>
      <c r="D9" t="s">
        <v>6</v>
      </c>
      <c r="E9">
        <v>4885</v>
      </c>
      <c r="F9" s="19">
        <v>100</v>
      </c>
      <c r="G9" s="19">
        <f>(WORK_Q1_Weekly_Trend[[#This Row],[Amount]]*100)/SUMIFS(WORK_Q1_Weekly_Trend[Amount],WORK_Q1_Weekly_Trend[Week],WORK_Q1_Weekly_Trend[[#This Row],[Week]])</f>
        <v>95.261310452418101</v>
      </c>
      <c r="J9" s="20">
        <v>43</v>
      </c>
      <c r="K9">
        <v>2274</v>
      </c>
      <c r="L9" s="19">
        <v>47.692953020134226</v>
      </c>
      <c r="M9">
        <v>2494</v>
      </c>
      <c r="N9" s="19">
        <v>52.307046979865774</v>
      </c>
    </row>
    <row r="10" spans="1:19" x14ac:dyDescent="0.3">
      <c r="A10">
        <v>2018</v>
      </c>
      <c r="B10">
        <v>49</v>
      </c>
      <c r="C10" t="s">
        <v>106</v>
      </c>
      <c r="D10" t="s">
        <v>6</v>
      </c>
      <c r="E10">
        <v>4132</v>
      </c>
      <c r="F10" s="19">
        <v>100</v>
      </c>
      <c r="G10" s="19">
        <f>(WORK_Q1_Weekly_Trend[[#This Row],[Amount]]*100)/SUMIFS(WORK_Q1_Weekly_Trend[Amount],WORK_Q1_Weekly_Trend[Week],WORK_Q1_Weekly_Trend[[#This Row],[Week]])</f>
        <v>93.951796271032293</v>
      </c>
      <c r="J10" s="20">
        <v>44</v>
      </c>
      <c r="K10">
        <v>1701</v>
      </c>
      <c r="L10" s="19">
        <v>38.96907216494845</v>
      </c>
      <c r="M10">
        <v>2664</v>
      </c>
      <c r="N10" s="19">
        <v>61.030927835051543</v>
      </c>
    </row>
    <row r="11" spans="1:19" x14ac:dyDescent="0.3">
      <c r="A11">
        <v>2018</v>
      </c>
      <c r="B11">
        <v>48</v>
      </c>
      <c r="C11" t="s">
        <v>106</v>
      </c>
      <c r="D11" t="s">
        <v>6</v>
      </c>
      <c r="E11">
        <v>4284</v>
      </c>
      <c r="F11" s="19">
        <v>100</v>
      </c>
      <c r="G11" s="19">
        <f>(WORK_Q1_Weekly_Trend[[#This Row],[Amount]]*100)/SUMIFS(WORK_Q1_Weekly_Trend[Amount],WORK_Q1_Weekly_Trend[Week],WORK_Q1_Weekly_Trend[[#This Row],[Week]])</f>
        <v>82.179167465950513</v>
      </c>
      <c r="J11" s="20">
        <v>45</v>
      </c>
      <c r="K11">
        <v>1672</v>
      </c>
      <c r="L11" s="19">
        <v>31.660670327589472</v>
      </c>
      <c r="M11">
        <v>3609</v>
      </c>
      <c r="N11" s="19">
        <v>68.339329672410528</v>
      </c>
    </row>
    <row r="12" spans="1:19" x14ac:dyDescent="0.3">
      <c r="A12">
        <v>2018</v>
      </c>
      <c r="B12">
        <v>47</v>
      </c>
      <c r="C12" t="s">
        <v>106</v>
      </c>
      <c r="D12" t="s">
        <v>6</v>
      </c>
      <c r="E12">
        <v>3343</v>
      </c>
      <c r="F12" s="19">
        <v>100</v>
      </c>
      <c r="G12" s="19">
        <f>(WORK_Q1_Weekly_Trend[[#This Row],[Amount]]*100)/SUMIFS(WORK_Q1_Weekly_Trend[Amount],WORK_Q1_Weekly_Trend[Week],WORK_Q1_Weekly_Trend[[#This Row],[Week]])</f>
        <v>73.780622379165749</v>
      </c>
      <c r="J12" s="20">
        <v>46</v>
      </c>
      <c r="K12">
        <v>1533</v>
      </c>
      <c r="L12" s="19">
        <v>31.897627965043696</v>
      </c>
      <c r="M12">
        <v>3273</v>
      </c>
      <c r="N12" s="19">
        <v>68.102372034956304</v>
      </c>
    </row>
    <row r="13" spans="1:19" x14ac:dyDescent="0.3">
      <c r="A13">
        <v>2018</v>
      </c>
      <c r="B13">
        <v>46</v>
      </c>
      <c r="C13" t="s">
        <v>106</v>
      </c>
      <c r="D13" t="s">
        <v>6</v>
      </c>
      <c r="E13">
        <v>3273</v>
      </c>
      <c r="F13" s="19">
        <v>100</v>
      </c>
      <c r="G13" s="19">
        <f>(WORK_Q1_Weekly_Trend[[#This Row],[Amount]]*100)/SUMIFS(WORK_Q1_Weekly_Trend[Amount],WORK_Q1_Weekly_Trend[Week],WORK_Q1_Weekly_Trend[[#This Row],[Week]])</f>
        <v>68.102372034956304</v>
      </c>
      <c r="J13" s="20">
        <v>47</v>
      </c>
      <c r="K13">
        <v>1188</v>
      </c>
      <c r="L13" s="19">
        <v>26.219377620834251</v>
      </c>
      <c r="M13">
        <v>3343</v>
      </c>
      <c r="N13" s="19">
        <v>73.780622379165749</v>
      </c>
    </row>
    <row r="14" spans="1:19" x14ac:dyDescent="0.3">
      <c r="A14">
        <v>2018</v>
      </c>
      <c r="B14">
        <v>45</v>
      </c>
      <c r="C14" t="s">
        <v>106</v>
      </c>
      <c r="D14" t="s">
        <v>6</v>
      </c>
      <c r="E14">
        <v>3609</v>
      </c>
      <c r="F14" s="19">
        <v>100</v>
      </c>
      <c r="G14" s="19">
        <f>(WORK_Q1_Weekly_Trend[[#This Row],[Amount]]*100)/SUMIFS(WORK_Q1_Weekly_Trend[Amount],WORK_Q1_Weekly_Trend[Week],WORK_Q1_Weekly_Trend[[#This Row],[Week]])</f>
        <v>68.339329672410528</v>
      </c>
      <c r="J14" s="20">
        <v>48</v>
      </c>
      <c r="K14">
        <v>929</v>
      </c>
      <c r="L14" s="19">
        <v>17.82083253404949</v>
      </c>
      <c r="M14">
        <v>4284</v>
      </c>
      <c r="N14" s="19">
        <v>82.179167465950513</v>
      </c>
    </row>
    <row r="15" spans="1:19" x14ac:dyDescent="0.3">
      <c r="A15">
        <v>2018</v>
      </c>
      <c r="B15">
        <v>44</v>
      </c>
      <c r="C15" t="s">
        <v>106</v>
      </c>
      <c r="D15" t="s">
        <v>6</v>
      </c>
      <c r="E15">
        <v>5</v>
      </c>
      <c r="F15" s="19">
        <v>0.19</v>
      </c>
      <c r="G15" s="19">
        <f>(WORK_Q1_Weekly_Trend[[#This Row],[Amount]]*100)/SUMIFS(WORK_Q1_Weekly_Trend[Amount],WORK_Q1_Weekly_Trend[Week],WORK_Q1_Weekly_Trend[[#This Row],[Week]])</f>
        <v>0.11454753722794959</v>
      </c>
      <c r="J15" s="20">
        <v>49</v>
      </c>
      <c r="K15">
        <v>266</v>
      </c>
      <c r="L15" s="19">
        <v>6.0482037289677129</v>
      </c>
      <c r="M15">
        <v>4132</v>
      </c>
      <c r="N15" s="19">
        <v>93.951796271032293</v>
      </c>
    </row>
    <row r="16" spans="1:19" x14ac:dyDescent="0.3">
      <c r="A16">
        <v>2018</v>
      </c>
      <c r="B16">
        <v>44</v>
      </c>
      <c r="C16" t="s">
        <v>106</v>
      </c>
      <c r="D16" t="s">
        <v>7</v>
      </c>
      <c r="E16">
        <v>2659</v>
      </c>
      <c r="F16" s="19">
        <v>99.81</v>
      </c>
      <c r="G16" s="19">
        <f>(WORK_Q1_Weekly_Trend[[#This Row],[Amount]]*100)/SUMIFS(WORK_Q1_Weekly_Trend[Amount],WORK_Q1_Weekly_Trend[Week],WORK_Q1_Weekly_Trend[[#This Row],[Week]])</f>
        <v>60.916380297823594</v>
      </c>
      <c r="J16" s="20">
        <v>50</v>
      </c>
      <c r="K16">
        <v>243</v>
      </c>
      <c r="L16" s="19">
        <v>4.7386895475819033</v>
      </c>
      <c r="M16">
        <v>4885</v>
      </c>
      <c r="N16" s="19">
        <v>95.261310452418101</v>
      </c>
    </row>
    <row r="17" spans="1:16" x14ac:dyDescent="0.3">
      <c r="A17">
        <v>2018</v>
      </c>
      <c r="B17">
        <v>43</v>
      </c>
      <c r="C17" t="s">
        <v>106</v>
      </c>
      <c r="D17" t="s">
        <v>7</v>
      </c>
      <c r="E17">
        <v>2494</v>
      </c>
      <c r="F17" s="19">
        <v>100</v>
      </c>
      <c r="G17" s="19">
        <f>(WORK_Q1_Weekly_Trend[[#This Row],[Amount]]*100)/SUMIFS(WORK_Q1_Weekly_Trend[Amount],WORK_Q1_Weekly_Trend[Week],WORK_Q1_Weekly_Trend[[#This Row],[Week]])</f>
        <v>52.307046979865774</v>
      </c>
      <c r="J17" s="20">
        <v>51</v>
      </c>
      <c r="K17">
        <v>162</v>
      </c>
      <c r="L17" s="19">
        <v>3.7947997189037244</v>
      </c>
      <c r="M17">
        <v>4107</v>
      </c>
      <c r="N17" s="19">
        <v>96.205200281096282</v>
      </c>
    </row>
    <row r="18" spans="1:16" x14ac:dyDescent="0.3">
      <c r="A18">
        <v>2018</v>
      </c>
      <c r="B18">
        <v>42</v>
      </c>
      <c r="C18" t="s">
        <v>106</v>
      </c>
      <c r="D18" t="s">
        <v>7</v>
      </c>
      <c r="E18">
        <v>333</v>
      </c>
      <c r="F18" s="19">
        <v>32.68</v>
      </c>
      <c r="G18" s="19">
        <f>(WORK_Q1_Weekly_Trend[[#This Row],[Amount]]*100)/SUMIFS(WORK_Q1_Weekly_Trend[Amount],WORK_Q1_Weekly_Trend[Week],WORK_Q1_Weekly_Trend[[#This Row],[Week]])</f>
        <v>15.978886756238003</v>
      </c>
      <c r="J18" s="20">
        <v>52</v>
      </c>
      <c r="K18">
        <v>5</v>
      </c>
      <c r="L18" s="19">
        <v>2</v>
      </c>
      <c r="M18">
        <v>245</v>
      </c>
      <c r="N18" s="19">
        <v>98</v>
      </c>
    </row>
    <row r="19" spans="1:16" x14ac:dyDescent="0.3">
      <c r="A19">
        <v>2018</v>
      </c>
      <c r="B19">
        <v>42</v>
      </c>
      <c r="C19" t="s">
        <v>106</v>
      </c>
      <c r="D19" t="s">
        <v>18</v>
      </c>
      <c r="E19">
        <v>686</v>
      </c>
      <c r="F19" s="19">
        <v>67.319999999999993</v>
      </c>
      <c r="G19" s="19">
        <f>(WORK_Q1_Weekly_Trend[[#This Row],[Amount]]*100)/SUMIFS(WORK_Q1_Weekly_Trend[Amount],WORK_Q1_Weekly_Trend[Week],WORK_Q1_Weekly_Trend[[#This Row],[Week]])</f>
        <v>32.91746641074856</v>
      </c>
      <c r="J19" s="2">
        <v>2019</v>
      </c>
      <c r="L19" s="19"/>
      <c r="N19" s="19"/>
    </row>
    <row r="20" spans="1:16" x14ac:dyDescent="0.3">
      <c r="A20">
        <v>2019</v>
      </c>
      <c r="B20">
        <v>3</v>
      </c>
      <c r="C20" t="s">
        <v>105</v>
      </c>
      <c r="D20" t="s">
        <v>6</v>
      </c>
      <c r="E20">
        <v>1</v>
      </c>
      <c r="F20" s="19">
        <v>100</v>
      </c>
      <c r="G20" s="19">
        <f>(WORK_Q1_Weekly_Trend[[#This Row],[Amount]]*100)/SUMIFS(WORK_Q1_Weekly_Trend[Amount],WORK_Q1_Weekly_Trend[Week],WORK_Q1_Weekly_Trend[[#This Row],[Week]])</f>
        <v>1.6666666666666667</v>
      </c>
      <c r="J20" s="20">
        <v>1</v>
      </c>
      <c r="K20">
        <v>14</v>
      </c>
      <c r="L20" s="19">
        <v>13.461538461538462</v>
      </c>
      <c r="M20">
        <v>90</v>
      </c>
      <c r="N20" s="19">
        <v>86.538461538461533</v>
      </c>
    </row>
    <row r="21" spans="1:16" x14ac:dyDescent="0.3">
      <c r="A21">
        <v>2019</v>
      </c>
      <c r="B21">
        <v>2</v>
      </c>
      <c r="C21" t="s">
        <v>105</v>
      </c>
      <c r="D21" t="s">
        <v>6</v>
      </c>
      <c r="E21">
        <v>35</v>
      </c>
      <c r="F21" s="19">
        <v>100</v>
      </c>
      <c r="G21" s="19">
        <f>(WORK_Q1_Weekly_Trend[[#This Row],[Amount]]*100)/SUMIFS(WORK_Q1_Weekly_Trend[Amount],WORK_Q1_Weekly_Trend[Week],WORK_Q1_Weekly_Trend[[#This Row],[Week]])</f>
        <v>16.055045871559631</v>
      </c>
      <c r="J21" s="20">
        <v>2</v>
      </c>
      <c r="K21">
        <v>35</v>
      </c>
      <c r="L21" s="19">
        <v>16.055045871559631</v>
      </c>
      <c r="M21">
        <v>183</v>
      </c>
      <c r="N21" s="19">
        <v>83.944954128440372</v>
      </c>
    </row>
    <row r="22" spans="1:16" x14ac:dyDescent="0.3">
      <c r="A22">
        <v>2019</v>
      </c>
      <c r="B22">
        <v>1</v>
      </c>
      <c r="C22" t="s">
        <v>105</v>
      </c>
      <c r="D22" t="s">
        <v>6</v>
      </c>
      <c r="E22">
        <v>14</v>
      </c>
      <c r="F22" s="19">
        <v>100</v>
      </c>
      <c r="G22" s="19">
        <f>(WORK_Q1_Weekly_Trend[[#This Row],[Amount]]*100)/SUMIFS(WORK_Q1_Weekly_Trend[Amount],WORK_Q1_Weekly_Trend[Week],WORK_Q1_Weekly_Trend[[#This Row],[Week]])</f>
        <v>13.461538461538462</v>
      </c>
      <c r="J22" s="20">
        <v>3</v>
      </c>
      <c r="K22">
        <v>1</v>
      </c>
      <c r="L22" s="19">
        <v>1.6666666666666667</v>
      </c>
      <c r="M22">
        <v>59</v>
      </c>
      <c r="N22" s="19">
        <v>98.333333333333329</v>
      </c>
    </row>
    <row r="23" spans="1:16" x14ac:dyDescent="0.3">
      <c r="A23">
        <v>2018</v>
      </c>
      <c r="B23">
        <v>52</v>
      </c>
      <c r="C23" t="s">
        <v>105</v>
      </c>
      <c r="D23" t="s">
        <v>6</v>
      </c>
      <c r="E23">
        <v>5</v>
      </c>
      <c r="F23" s="19">
        <v>100</v>
      </c>
      <c r="G23" s="19">
        <f>(WORK_Q1_Weekly_Trend[[#This Row],[Amount]]*100)/SUMIFS(WORK_Q1_Weekly_Trend[Amount],WORK_Q1_Weekly_Trend[Week],WORK_Q1_Weekly_Trend[[#This Row],[Week]])</f>
        <v>2</v>
      </c>
    </row>
    <row r="24" spans="1:16" x14ac:dyDescent="0.3">
      <c r="A24">
        <v>2018</v>
      </c>
      <c r="B24">
        <v>51</v>
      </c>
      <c r="C24" t="s">
        <v>105</v>
      </c>
      <c r="D24" t="s">
        <v>6</v>
      </c>
      <c r="E24">
        <v>162</v>
      </c>
      <c r="F24" s="19">
        <v>100</v>
      </c>
      <c r="G24" s="19">
        <f>(WORK_Q1_Weekly_Trend[[#This Row],[Amount]]*100)/SUMIFS(WORK_Q1_Weekly_Trend[Amount],WORK_Q1_Weekly_Trend[Week],WORK_Q1_Weekly_Trend[[#This Row],[Week]])</f>
        <v>3.7947997189037244</v>
      </c>
    </row>
    <row r="25" spans="1:16" x14ac:dyDescent="0.3">
      <c r="A25">
        <v>2018</v>
      </c>
      <c r="B25">
        <v>50</v>
      </c>
      <c r="C25" t="s">
        <v>105</v>
      </c>
      <c r="D25" t="s">
        <v>6</v>
      </c>
      <c r="E25">
        <v>243</v>
      </c>
      <c r="F25" s="19">
        <v>100</v>
      </c>
      <c r="G25" s="19">
        <f>(WORK_Q1_Weekly_Trend[[#This Row],[Amount]]*100)/SUMIFS(WORK_Q1_Weekly_Trend[Amount],WORK_Q1_Weekly_Trend[Week],WORK_Q1_Weekly_Trend[[#This Row],[Week]])</f>
        <v>4.7386895475819033</v>
      </c>
    </row>
    <row r="26" spans="1:16" x14ac:dyDescent="0.3">
      <c r="A26">
        <v>2018</v>
      </c>
      <c r="B26">
        <v>49</v>
      </c>
      <c r="C26" t="s">
        <v>105</v>
      </c>
      <c r="D26" t="s">
        <v>6</v>
      </c>
      <c r="E26">
        <v>266</v>
      </c>
      <c r="F26" s="19">
        <v>100</v>
      </c>
      <c r="G26" s="19">
        <f>(WORK_Q1_Weekly_Trend[[#This Row],[Amount]]*100)/SUMIFS(WORK_Q1_Weekly_Trend[Amount],WORK_Q1_Weekly_Trend[Week],WORK_Q1_Weekly_Trend[[#This Row],[Week]])</f>
        <v>6.0482037289677129</v>
      </c>
    </row>
    <row r="27" spans="1:16" x14ac:dyDescent="0.3">
      <c r="A27">
        <v>2018</v>
      </c>
      <c r="B27">
        <v>48</v>
      </c>
      <c r="C27" t="s">
        <v>105</v>
      </c>
      <c r="D27" t="s">
        <v>6</v>
      </c>
      <c r="E27">
        <v>929</v>
      </c>
      <c r="F27" s="19">
        <v>100</v>
      </c>
      <c r="G27" s="19">
        <f>(WORK_Q1_Weekly_Trend[[#This Row],[Amount]]*100)/SUMIFS(WORK_Q1_Weekly_Trend[Amount],WORK_Q1_Weekly_Trend[Week],WORK_Q1_Weekly_Trend[[#This Row],[Week]])</f>
        <v>17.82083253404949</v>
      </c>
    </row>
    <row r="28" spans="1:16" x14ac:dyDescent="0.3">
      <c r="A28">
        <v>2018</v>
      </c>
      <c r="B28">
        <v>47</v>
      </c>
      <c r="C28" t="s">
        <v>105</v>
      </c>
      <c r="D28" t="s">
        <v>6</v>
      </c>
      <c r="E28">
        <v>1188</v>
      </c>
      <c r="F28" s="19">
        <v>100</v>
      </c>
      <c r="G28" s="19">
        <f>(WORK_Q1_Weekly_Trend[[#This Row],[Amount]]*100)/SUMIFS(WORK_Q1_Weekly_Trend[Amount],WORK_Q1_Weekly_Trend[Week],WORK_Q1_Weekly_Trend[[#This Row],[Week]])</f>
        <v>26.219377620834251</v>
      </c>
      <c r="J28" s="1" t="s">
        <v>100</v>
      </c>
      <c r="K28" t="s">
        <v>105</v>
      </c>
    </row>
    <row r="29" spans="1:16" x14ac:dyDescent="0.3">
      <c r="A29">
        <v>2018</v>
      </c>
      <c r="B29">
        <v>46</v>
      </c>
      <c r="C29" t="s">
        <v>105</v>
      </c>
      <c r="D29" t="s">
        <v>6</v>
      </c>
      <c r="E29">
        <v>1533</v>
      </c>
      <c r="F29" s="19">
        <v>100</v>
      </c>
      <c r="G29" s="19">
        <f>(WORK_Q1_Weekly_Trend[[#This Row],[Amount]]*100)/SUMIFS(WORK_Q1_Weekly_Trend[Amount],WORK_Q1_Weekly_Trend[Week],WORK_Q1_Weekly_Trend[[#This Row],[Week]])</f>
        <v>31.897627965043696</v>
      </c>
    </row>
    <row r="30" spans="1:16" x14ac:dyDescent="0.3">
      <c r="A30">
        <v>2018</v>
      </c>
      <c r="B30">
        <v>45</v>
      </c>
      <c r="C30" t="s">
        <v>105</v>
      </c>
      <c r="D30" t="s">
        <v>6</v>
      </c>
      <c r="E30">
        <v>1672</v>
      </c>
      <c r="F30" s="19">
        <v>100</v>
      </c>
      <c r="G30" s="19">
        <f>(WORK_Q1_Weekly_Trend[[#This Row],[Amount]]*100)/SUMIFS(WORK_Q1_Weekly_Trend[Amount],WORK_Q1_Weekly_Trend[Week],WORK_Q1_Weekly_Trend[[#This Row],[Week]])</f>
        <v>31.660670327589472</v>
      </c>
      <c r="K30" s="1" t="s">
        <v>131</v>
      </c>
    </row>
    <row r="31" spans="1:16" x14ac:dyDescent="0.3">
      <c r="A31">
        <v>2018</v>
      </c>
      <c r="B31">
        <v>44</v>
      </c>
      <c r="C31" t="s">
        <v>105</v>
      </c>
      <c r="D31" t="s">
        <v>6</v>
      </c>
      <c r="E31">
        <v>1692</v>
      </c>
      <c r="F31" s="19">
        <v>99.47</v>
      </c>
      <c r="G31" s="19">
        <f>(WORK_Q1_Weekly_Trend[[#This Row],[Amount]]*100)/SUMIFS(WORK_Q1_Weekly_Trend[Amount],WORK_Q1_Weekly_Trend[Week],WORK_Q1_Weekly_Trend[[#This Row],[Week]])</f>
        <v>38.762886597938142</v>
      </c>
      <c r="K31" t="s">
        <v>6</v>
      </c>
      <c r="M31" t="s">
        <v>7</v>
      </c>
      <c r="O31" t="s">
        <v>18</v>
      </c>
    </row>
    <row r="32" spans="1:16" x14ac:dyDescent="0.3">
      <c r="A32">
        <v>2018</v>
      </c>
      <c r="B32">
        <v>44</v>
      </c>
      <c r="C32" t="s">
        <v>105</v>
      </c>
      <c r="D32" t="s">
        <v>7</v>
      </c>
      <c r="E32">
        <v>9</v>
      </c>
      <c r="F32" s="19">
        <v>0.53</v>
      </c>
      <c r="G32" s="19">
        <f>(WORK_Q1_Weekly_Trend[[#This Row],[Amount]]*100)/SUMIFS(WORK_Q1_Weekly_Trend[Amount],WORK_Q1_Weekly_Trend[Week],WORK_Q1_Weekly_Trend[[#This Row],[Week]])</f>
        <v>0.20618556701030927</v>
      </c>
      <c r="J32" s="1" t="s">
        <v>201</v>
      </c>
      <c r="K32" t="s">
        <v>124</v>
      </c>
      <c r="L32" t="s">
        <v>137</v>
      </c>
      <c r="M32" t="s">
        <v>124</v>
      </c>
      <c r="N32" t="s">
        <v>137</v>
      </c>
      <c r="O32" t="s">
        <v>124</v>
      </c>
      <c r="P32" t="s">
        <v>137</v>
      </c>
    </row>
    <row r="33" spans="1:17" x14ac:dyDescent="0.3">
      <c r="A33">
        <v>2018</v>
      </c>
      <c r="B33">
        <v>43</v>
      </c>
      <c r="C33" t="s">
        <v>105</v>
      </c>
      <c r="D33" t="s">
        <v>6</v>
      </c>
      <c r="E33">
        <v>1829</v>
      </c>
      <c r="F33" s="19">
        <v>80.430000000000007</v>
      </c>
      <c r="G33" s="19">
        <f>(WORK_Q1_Weekly_Trend[[#This Row],[Amount]]*100)/SUMIFS(WORK_Q1_Weekly_Trend[Amount],WORK_Q1_Weekly_Trend[Week],WORK_Q1_Weekly_Trend[[#This Row],[Week]])</f>
        <v>38.359899328859058</v>
      </c>
      <c r="J33" s="2">
        <v>2018</v>
      </c>
      <c r="L33" s="19"/>
      <c r="N33" s="19"/>
      <c r="P33" s="19"/>
      <c r="Q33" s="19"/>
    </row>
    <row r="34" spans="1:17" x14ac:dyDescent="0.3">
      <c r="A34">
        <v>2018</v>
      </c>
      <c r="B34">
        <v>43</v>
      </c>
      <c r="C34" t="s">
        <v>105</v>
      </c>
      <c r="D34" t="s">
        <v>7</v>
      </c>
      <c r="E34">
        <v>445</v>
      </c>
      <c r="F34" s="19">
        <v>19.57</v>
      </c>
      <c r="G34" s="19">
        <f>(WORK_Q1_Weekly_Trend[[#This Row],[Amount]]*100)/SUMIFS(WORK_Q1_Weekly_Trend[Amount],WORK_Q1_Weekly_Trend[Week],WORK_Q1_Weekly_Trend[[#This Row],[Week]])</f>
        <v>9.3330536912751683</v>
      </c>
      <c r="J34" s="20">
        <v>42</v>
      </c>
      <c r="K34">
        <v>617</v>
      </c>
      <c r="L34" s="19">
        <v>57.93</v>
      </c>
      <c r="M34">
        <v>435</v>
      </c>
      <c r="N34" s="19">
        <v>40.85</v>
      </c>
      <c r="O34">
        <v>13</v>
      </c>
      <c r="P34" s="19">
        <v>1.22</v>
      </c>
      <c r="Q34" s="19"/>
    </row>
    <row r="35" spans="1:17" x14ac:dyDescent="0.3">
      <c r="A35">
        <v>2018</v>
      </c>
      <c r="B35">
        <v>42</v>
      </c>
      <c r="C35" t="s">
        <v>105</v>
      </c>
      <c r="D35" t="s">
        <v>6</v>
      </c>
      <c r="E35">
        <v>617</v>
      </c>
      <c r="F35" s="19">
        <v>57.93</v>
      </c>
      <c r="G35" s="19">
        <f>(WORK_Q1_Weekly_Trend[[#This Row],[Amount]]*100)/SUMIFS(WORK_Q1_Weekly_Trend[Amount],WORK_Q1_Weekly_Trend[Week],WORK_Q1_Weekly_Trend[[#This Row],[Week]])</f>
        <v>29.606525911708253</v>
      </c>
      <c r="J35" s="20">
        <v>43</v>
      </c>
      <c r="K35">
        <v>1829</v>
      </c>
      <c r="L35" s="19">
        <v>80.430000000000007</v>
      </c>
      <c r="M35">
        <v>445</v>
      </c>
      <c r="N35" s="19">
        <v>19.57</v>
      </c>
      <c r="P35" s="19"/>
      <c r="Q35" s="19"/>
    </row>
    <row r="36" spans="1:17" x14ac:dyDescent="0.3">
      <c r="A36">
        <v>2018</v>
      </c>
      <c r="B36">
        <v>42</v>
      </c>
      <c r="C36" t="s">
        <v>105</v>
      </c>
      <c r="D36" t="s">
        <v>7</v>
      </c>
      <c r="E36">
        <v>435</v>
      </c>
      <c r="F36" s="19">
        <v>40.85</v>
      </c>
      <c r="G36" s="19">
        <f>(WORK_Q1_Weekly_Trend[[#This Row],[Amount]]*100)/SUMIFS(WORK_Q1_Weekly_Trend[Amount],WORK_Q1_Weekly_Trend[Week],WORK_Q1_Weekly_Trend[[#This Row],[Week]])</f>
        <v>20.873320537428022</v>
      </c>
      <c r="J36" s="20">
        <v>44</v>
      </c>
      <c r="K36">
        <v>1692</v>
      </c>
      <c r="L36" s="19">
        <v>99.47</v>
      </c>
      <c r="M36">
        <v>9</v>
      </c>
      <c r="N36" s="19">
        <v>0.53</v>
      </c>
      <c r="P36" s="19"/>
      <c r="Q36" s="19"/>
    </row>
    <row r="37" spans="1:17" x14ac:dyDescent="0.3">
      <c r="A37">
        <v>2018</v>
      </c>
      <c r="B37">
        <v>42</v>
      </c>
      <c r="C37" t="s">
        <v>105</v>
      </c>
      <c r="D37" t="s">
        <v>18</v>
      </c>
      <c r="E37">
        <v>13</v>
      </c>
      <c r="F37" s="19">
        <v>1.22</v>
      </c>
      <c r="G37" s="19">
        <f>(WORK_Q1_Weekly_Trend[[#This Row],[Amount]]*100)/SUMIFS(WORK_Q1_Weekly_Trend[Amount],WORK_Q1_Weekly_Trend[Week],WORK_Q1_Weekly_Trend[[#This Row],[Week]])</f>
        <v>0.6238003838771593</v>
      </c>
      <c r="J37" s="20">
        <v>45</v>
      </c>
      <c r="K37">
        <v>1672</v>
      </c>
      <c r="L37" s="19">
        <v>100</v>
      </c>
      <c r="N37" s="19"/>
      <c r="P37" s="19"/>
      <c r="Q37" s="19"/>
    </row>
    <row r="38" spans="1:17" x14ac:dyDescent="0.3">
      <c r="J38" s="20">
        <v>46</v>
      </c>
      <c r="K38">
        <v>1533</v>
      </c>
      <c r="L38" s="19">
        <v>100</v>
      </c>
      <c r="N38" s="19"/>
      <c r="P38" s="19"/>
      <c r="Q38" s="19"/>
    </row>
    <row r="39" spans="1:17" x14ac:dyDescent="0.3">
      <c r="J39" s="20">
        <v>47</v>
      </c>
      <c r="K39">
        <v>1188</v>
      </c>
      <c r="L39" s="19">
        <v>100</v>
      </c>
      <c r="N39" s="19"/>
      <c r="P39" s="19"/>
      <c r="Q39" s="19"/>
    </row>
    <row r="40" spans="1:17" x14ac:dyDescent="0.3">
      <c r="J40" s="20">
        <v>48</v>
      </c>
      <c r="K40">
        <v>929</v>
      </c>
      <c r="L40" s="19">
        <v>100</v>
      </c>
      <c r="N40" s="19"/>
      <c r="P40" s="19"/>
      <c r="Q40" s="19"/>
    </row>
    <row r="41" spans="1:17" x14ac:dyDescent="0.3">
      <c r="J41" s="20">
        <v>49</v>
      </c>
      <c r="K41">
        <v>266</v>
      </c>
      <c r="L41" s="19">
        <v>100</v>
      </c>
      <c r="N41" s="19"/>
      <c r="P41" s="19"/>
      <c r="Q41" s="19"/>
    </row>
    <row r="42" spans="1:17" x14ac:dyDescent="0.3">
      <c r="J42" s="20">
        <v>50</v>
      </c>
      <c r="K42">
        <v>243</v>
      </c>
      <c r="L42" s="19">
        <v>100</v>
      </c>
      <c r="N42" s="19"/>
      <c r="P42" s="19"/>
      <c r="Q42" s="19"/>
    </row>
    <row r="43" spans="1:17" x14ac:dyDescent="0.3">
      <c r="J43" s="20">
        <v>51</v>
      </c>
      <c r="K43">
        <v>162</v>
      </c>
      <c r="L43" s="19">
        <v>100</v>
      </c>
      <c r="N43" s="19"/>
      <c r="P43" s="19"/>
      <c r="Q43" s="19"/>
    </row>
    <row r="44" spans="1:17" x14ac:dyDescent="0.3">
      <c r="J44" s="20">
        <v>52</v>
      </c>
      <c r="K44">
        <v>5</v>
      </c>
      <c r="L44" s="19">
        <v>100</v>
      </c>
      <c r="N44" s="19"/>
      <c r="P44" s="19"/>
      <c r="Q44" s="19"/>
    </row>
    <row r="45" spans="1:17" x14ac:dyDescent="0.3">
      <c r="J45" s="2">
        <v>2019</v>
      </c>
      <c r="L45" s="19"/>
      <c r="N45" s="19"/>
      <c r="P45" s="19"/>
      <c r="Q45" s="19"/>
    </row>
    <row r="46" spans="1:17" x14ac:dyDescent="0.3">
      <c r="J46" s="20">
        <v>1</v>
      </c>
      <c r="K46">
        <v>14</v>
      </c>
      <c r="L46" s="19">
        <v>100</v>
      </c>
      <c r="N46" s="19"/>
      <c r="P46" s="19"/>
      <c r="Q46" s="19"/>
    </row>
    <row r="47" spans="1:17" x14ac:dyDescent="0.3">
      <c r="J47" s="20">
        <v>2</v>
      </c>
      <c r="K47">
        <v>35</v>
      </c>
      <c r="L47" s="19">
        <v>100</v>
      </c>
      <c r="N47" s="19"/>
      <c r="P47" s="19"/>
      <c r="Q47" s="19"/>
    </row>
    <row r="48" spans="1:17" x14ac:dyDescent="0.3">
      <c r="J48" s="20">
        <v>3</v>
      </c>
      <c r="K48">
        <v>1</v>
      </c>
      <c r="L48" s="19">
        <v>100</v>
      </c>
      <c r="N48" s="19"/>
      <c r="P48" s="19"/>
      <c r="Q48" s="19"/>
    </row>
  </sheetData>
  <pageMargins left="0.7" right="0.7" top="0.75" bottom="0.75" header="0.3" footer="0.3"/>
  <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20EB-1218-4F8B-90F9-3DD2AF922419}">
  <sheetPr>
    <tabColor theme="6" tint="0.59999389629810485"/>
  </sheetPr>
  <dimension ref="A1:E40"/>
  <sheetViews>
    <sheetView zoomScale="70" zoomScaleNormal="70" workbookViewId="0">
      <selection activeCell="R21" sqref="R21"/>
    </sheetView>
  </sheetViews>
  <sheetFormatPr defaultRowHeight="14.4" x14ac:dyDescent="0.3"/>
  <cols>
    <col min="1" max="1" width="14" customWidth="1"/>
    <col min="2" max="2" width="14.109375" customWidth="1"/>
    <col min="3" max="3" width="12.6640625" customWidth="1"/>
    <col min="4" max="4" width="10.109375" customWidth="1"/>
    <col min="5" max="5" width="7.44140625" customWidth="1"/>
  </cols>
  <sheetData>
    <row r="1" spans="1:5" x14ac:dyDescent="0.3">
      <c r="A1" s="47" t="s">
        <v>178</v>
      </c>
    </row>
    <row r="2" spans="1:5" x14ac:dyDescent="0.3">
      <c r="A2" t="s">
        <v>189</v>
      </c>
    </row>
    <row r="3" spans="1:5" x14ac:dyDescent="0.3">
      <c r="A3" t="s">
        <v>13</v>
      </c>
      <c r="B3" t="s">
        <v>100</v>
      </c>
      <c r="C3" t="s">
        <v>2</v>
      </c>
      <c r="D3" t="s">
        <v>3</v>
      </c>
      <c r="E3" t="s">
        <v>4</v>
      </c>
    </row>
    <row r="4" spans="1:5" x14ac:dyDescent="0.3">
      <c r="A4" t="s">
        <v>28</v>
      </c>
      <c r="B4" t="s">
        <v>5</v>
      </c>
      <c r="C4" t="s">
        <v>6</v>
      </c>
      <c r="D4">
        <v>1</v>
      </c>
      <c r="E4">
        <v>100</v>
      </c>
    </row>
    <row r="5" spans="1:5" x14ac:dyDescent="0.3">
      <c r="A5" t="s">
        <v>29</v>
      </c>
      <c r="B5" t="s">
        <v>5</v>
      </c>
      <c r="C5" t="s">
        <v>6</v>
      </c>
      <c r="D5">
        <v>35</v>
      </c>
      <c r="E5">
        <v>100</v>
      </c>
    </row>
    <row r="6" spans="1:5" x14ac:dyDescent="0.3">
      <c r="A6" t="s">
        <v>14</v>
      </c>
      <c r="B6" t="s">
        <v>5</v>
      </c>
      <c r="C6" t="s">
        <v>6</v>
      </c>
      <c r="D6">
        <v>14</v>
      </c>
      <c r="E6">
        <v>100</v>
      </c>
    </row>
    <row r="7" spans="1:5" x14ac:dyDescent="0.3">
      <c r="A7" t="s">
        <v>30</v>
      </c>
      <c r="B7" t="s">
        <v>5</v>
      </c>
      <c r="C7" t="s">
        <v>6</v>
      </c>
      <c r="D7">
        <v>5</v>
      </c>
      <c r="E7">
        <v>100</v>
      </c>
    </row>
    <row r="8" spans="1:5" x14ac:dyDescent="0.3">
      <c r="A8" t="s">
        <v>31</v>
      </c>
      <c r="B8" t="s">
        <v>5</v>
      </c>
      <c r="C8" t="s">
        <v>6</v>
      </c>
      <c r="D8">
        <v>162</v>
      </c>
      <c r="E8">
        <v>100</v>
      </c>
    </row>
    <row r="9" spans="1:5" x14ac:dyDescent="0.3">
      <c r="A9" t="s">
        <v>32</v>
      </c>
      <c r="B9" t="s">
        <v>5</v>
      </c>
      <c r="C9" t="s">
        <v>6</v>
      </c>
      <c r="D9">
        <v>243</v>
      </c>
      <c r="E9">
        <v>100</v>
      </c>
    </row>
    <row r="10" spans="1:5" x14ac:dyDescent="0.3">
      <c r="A10" t="s">
        <v>33</v>
      </c>
      <c r="B10" t="s">
        <v>5</v>
      </c>
      <c r="C10" t="s">
        <v>6</v>
      </c>
      <c r="D10">
        <v>266</v>
      </c>
      <c r="E10">
        <v>100</v>
      </c>
    </row>
    <row r="11" spans="1:5" x14ac:dyDescent="0.3">
      <c r="A11" t="s">
        <v>34</v>
      </c>
      <c r="B11" t="s">
        <v>5</v>
      </c>
      <c r="C11" t="s">
        <v>6</v>
      </c>
      <c r="D11">
        <v>929</v>
      </c>
      <c r="E11">
        <v>100</v>
      </c>
    </row>
    <row r="12" spans="1:5" x14ac:dyDescent="0.3">
      <c r="A12" t="s">
        <v>35</v>
      </c>
      <c r="B12" t="s">
        <v>5</v>
      </c>
      <c r="C12" t="s">
        <v>6</v>
      </c>
      <c r="D12">
        <v>1188</v>
      </c>
      <c r="E12">
        <v>100</v>
      </c>
    </row>
    <row r="13" spans="1:5" x14ac:dyDescent="0.3">
      <c r="A13" t="s">
        <v>36</v>
      </c>
      <c r="B13" t="s">
        <v>5</v>
      </c>
      <c r="C13" t="s">
        <v>6</v>
      </c>
      <c r="D13">
        <v>1533</v>
      </c>
      <c r="E13">
        <v>100</v>
      </c>
    </row>
    <row r="14" spans="1:5" x14ac:dyDescent="0.3">
      <c r="A14" t="s">
        <v>37</v>
      </c>
      <c r="B14" t="s">
        <v>5</v>
      </c>
      <c r="C14" t="s">
        <v>6</v>
      </c>
      <c r="D14">
        <v>1672</v>
      </c>
      <c r="E14">
        <v>100</v>
      </c>
    </row>
    <row r="15" spans="1:5" x14ac:dyDescent="0.3">
      <c r="A15" t="s">
        <v>38</v>
      </c>
      <c r="B15" t="s">
        <v>5</v>
      </c>
      <c r="C15" t="s">
        <v>6</v>
      </c>
      <c r="D15">
        <v>1692</v>
      </c>
      <c r="E15">
        <v>99.47</v>
      </c>
    </row>
    <row r="16" spans="1:5" x14ac:dyDescent="0.3">
      <c r="A16" t="s">
        <v>38</v>
      </c>
      <c r="B16" t="s">
        <v>5</v>
      </c>
      <c r="C16" t="s">
        <v>7</v>
      </c>
      <c r="D16">
        <v>9</v>
      </c>
      <c r="E16">
        <v>0.53</v>
      </c>
    </row>
    <row r="17" spans="1:5" x14ac:dyDescent="0.3">
      <c r="A17" t="s">
        <v>39</v>
      </c>
      <c r="B17" t="s">
        <v>5</v>
      </c>
      <c r="C17" t="s">
        <v>6</v>
      </c>
      <c r="D17">
        <v>1829</v>
      </c>
      <c r="E17">
        <v>80.430000000000007</v>
      </c>
    </row>
    <row r="18" spans="1:5" x14ac:dyDescent="0.3">
      <c r="A18" t="s">
        <v>39</v>
      </c>
      <c r="B18" t="s">
        <v>5</v>
      </c>
      <c r="C18" t="s">
        <v>7</v>
      </c>
      <c r="D18">
        <v>445</v>
      </c>
      <c r="E18">
        <v>19.57</v>
      </c>
    </row>
    <row r="19" spans="1:5" x14ac:dyDescent="0.3">
      <c r="A19" t="s">
        <v>40</v>
      </c>
      <c r="B19" t="s">
        <v>5</v>
      </c>
      <c r="C19" t="s">
        <v>6</v>
      </c>
      <c r="D19">
        <v>617</v>
      </c>
      <c r="E19">
        <v>57.93</v>
      </c>
    </row>
    <row r="20" spans="1:5" x14ac:dyDescent="0.3">
      <c r="A20" t="s">
        <v>40</v>
      </c>
      <c r="B20" t="s">
        <v>5</v>
      </c>
      <c r="C20" t="s">
        <v>7</v>
      </c>
      <c r="D20">
        <v>435</v>
      </c>
      <c r="E20">
        <v>40.85</v>
      </c>
    </row>
    <row r="21" spans="1:5" x14ac:dyDescent="0.3">
      <c r="A21" t="s">
        <v>40</v>
      </c>
      <c r="B21" t="s">
        <v>5</v>
      </c>
      <c r="C21" t="s">
        <v>18</v>
      </c>
      <c r="D21">
        <v>13</v>
      </c>
      <c r="E21">
        <v>1.22</v>
      </c>
    </row>
    <row r="24" spans="1:5" x14ac:dyDescent="0.3">
      <c r="A24" t="s">
        <v>13</v>
      </c>
      <c r="B24" t="s">
        <v>100</v>
      </c>
      <c r="C24" t="s">
        <v>2</v>
      </c>
      <c r="D24" t="s">
        <v>3</v>
      </c>
      <c r="E24" t="s">
        <v>4</v>
      </c>
    </row>
    <row r="25" spans="1:5" x14ac:dyDescent="0.3">
      <c r="A25" t="s">
        <v>28</v>
      </c>
      <c r="B25" t="s">
        <v>12</v>
      </c>
      <c r="C25" t="s">
        <v>6</v>
      </c>
      <c r="D25">
        <v>59</v>
      </c>
      <c r="E25">
        <v>100</v>
      </c>
    </row>
    <row r="26" spans="1:5" x14ac:dyDescent="0.3">
      <c r="A26" t="s">
        <v>29</v>
      </c>
      <c r="B26" t="s">
        <v>12</v>
      </c>
      <c r="C26" t="s">
        <v>6</v>
      </c>
      <c r="D26">
        <v>183</v>
      </c>
      <c r="E26">
        <v>100</v>
      </c>
    </row>
    <row r="27" spans="1:5" x14ac:dyDescent="0.3">
      <c r="A27" t="s">
        <v>14</v>
      </c>
      <c r="B27" t="s">
        <v>12</v>
      </c>
      <c r="C27" t="s">
        <v>6</v>
      </c>
      <c r="D27">
        <v>90</v>
      </c>
      <c r="E27">
        <v>100</v>
      </c>
    </row>
    <row r="28" spans="1:5" x14ac:dyDescent="0.3">
      <c r="A28" t="s">
        <v>30</v>
      </c>
      <c r="B28" t="s">
        <v>12</v>
      </c>
      <c r="C28" t="s">
        <v>6</v>
      </c>
      <c r="D28">
        <v>245</v>
      </c>
      <c r="E28">
        <v>100</v>
      </c>
    </row>
    <row r="29" spans="1:5" x14ac:dyDescent="0.3">
      <c r="A29" t="s">
        <v>31</v>
      </c>
      <c r="B29" t="s">
        <v>12</v>
      </c>
      <c r="C29" t="s">
        <v>6</v>
      </c>
      <c r="D29">
        <v>4107</v>
      </c>
      <c r="E29">
        <v>100</v>
      </c>
    </row>
    <row r="30" spans="1:5" x14ac:dyDescent="0.3">
      <c r="A30" t="s">
        <v>32</v>
      </c>
      <c r="B30" t="s">
        <v>12</v>
      </c>
      <c r="C30" t="s">
        <v>6</v>
      </c>
      <c r="D30">
        <v>4885</v>
      </c>
      <c r="E30">
        <v>100</v>
      </c>
    </row>
    <row r="31" spans="1:5" x14ac:dyDescent="0.3">
      <c r="A31" t="s">
        <v>33</v>
      </c>
      <c r="B31" t="s">
        <v>12</v>
      </c>
      <c r="C31" t="s">
        <v>6</v>
      </c>
      <c r="D31">
        <v>4132</v>
      </c>
      <c r="E31">
        <v>100</v>
      </c>
    </row>
    <row r="32" spans="1:5" x14ac:dyDescent="0.3">
      <c r="A32" t="s">
        <v>34</v>
      </c>
      <c r="B32" t="s">
        <v>12</v>
      </c>
      <c r="C32" t="s">
        <v>6</v>
      </c>
      <c r="D32">
        <v>4284</v>
      </c>
      <c r="E32">
        <v>100</v>
      </c>
    </row>
    <row r="33" spans="1:5" x14ac:dyDescent="0.3">
      <c r="A33" t="s">
        <v>35</v>
      </c>
      <c r="B33" t="s">
        <v>12</v>
      </c>
      <c r="C33" t="s">
        <v>6</v>
      </c>
      <c r="D33">
        <v>3343</v>
      </c>
      <c r="E33">
        <v>100</v>
      </c>
    </row>
    <row r="34" spans="1:5" x14ac:dyDescent="0.3">
      <c r="A34" t="s">
        <v>36</v>
      </c>
      <c r="B34" t="s">
        <v>12</v>
      </c>
      <c r="C34" t="s">
        <v>6</v>
      </c>
      <c r="D34">
        <v>3273</v>
      </c>
      <c r="E34">
        <v>100</v>
      </c>
    </row>
    <row r="35" spans="1:5" x14ac:dyDescent="0.3">
      <c r="A35" t="s">
        <v>37</v>
      </c>
      <c r="B35" t="s">
        <v>12</v>
      </c>
      <c r="C35" t="s">
        <v>6</v>
      </c>
      <c r="D35">
        <v>3609</v>
      </c>
      <c r="E35">
        <v>100</v>
      </c>
    </row>
    <row r="36" spans="1:5" x14ac:dyDescent="0.3">
      <c r="A36" t="s">
        <v>38</v>
      </c>
      <c r="B36" t="s">
        <v>12</v>
      </c>
      <c r="C36" t="s">
        <v>6</v>
      </c>
      <c r="D36">
        <v>5</v>
      </c>
      <c r="E36">
        <v>0.19</v>
      </c>
    </row>
    <row r="37" spans="1:5" x14ac:dyDescent="0.3">
      <c r="A37" t="s">
        <v>38</v>
      </c>
      <c r="B37" t="s">
        <v>12</v>
      </c>
      <c r="C37" t="s">
        <v>7</v>
      </c>
      <c r="D37">
        <v>2659</v>
      </c>
      <c r="E37">
        <v>99.81</v>
      </c>
    </row>
    <row r="38" spans="1:5" x14ac:dyDescent="0.3">
      <c r="A38" t="s">
        <v>39</v>
      </c>
      <c r="B38" t="s">
        <v>12</v>
      </c>
      <c r="C38" t="s">
        <v>7</v>
      </c>
      <c r="D38">
        <v>2494</v>
      </c>
      <c r="E38">
        <v>100</v>
      </c>
    </row>
    <row r="39" spans="1:5" x14ac:dyDescent="0.3">
      <c r="A39" t="s">
        <v>40</v>
      </c>
      <c r="B39" t="s">
        <v>12</v>
      </c>
      <c r="C39" t="s">
        <v>7</v>
      </c>
      <c r="D39">
        <v>333</v>
      </c>
      <c r="E39">
        <v>32.68</v>
      </c>
    </row>
    <row r="40" spans="1:5" x14ac:dyDescent="0.3">
      <c r="A40" t="s">
        <v>40</v>
      </c>
      <c r="B40" t="s">
        <v>12</v>
      </c>
      <c r="C40" t="s">
        <v>18</v>
      </c>
      <c r="D40">
        <v>686</v>
      </c>
      <c r="E40">
        <v>67.319999999999993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7FE6-FA2F-4473-909F-97867A025CE8}">
  <dimension ref="A1:F18"/>
  <sheetViews>
    <sheetView workbookViewId="0">
      <selection activeCell="F7" sqref="F7"/>
    </sheetView>
  </sheetViews>
  <sheetFormatPr defaultRowHeight="14.4" x14ac:dyDescent="0.3"/>
  <cols>
    <col min="1" max="1" width="26.21875" customWidth="1"/>
    <col min="2" max="2" width="18" bestFit="1" customWidth="1"/>
    <col min="3" max="3" width="10.21875" bestFit="1" customWidth="1"/>
    <col min="4" max="4" width="7.44140625" bestFit="1" customWidth="1"/>
    <col min="5" max="5" width="17" bestFit="1" customWidth="1"/>
    <col min="6" max="6" width="6" bestFit="1" customWidth="1"/>
  </cols>
  <sheetData>
    <row r="1" spans="1:6" x14ac:dyDescent="0.3">
      <c r="A1" s="47" t="s">
        <v>177</v>
      </c>
    </row>
    <row r="3" spans="1:6" x14ac:dyDescent="0.3">
      <c r="A3" t="s">
        <v>58</v>
      </c>
      <c r="B3" t="s">
        <v>44</v>
      </c>
      <c r="C3" t="s">
        <v>45</v>
      </c>
    </row>
    <row r="4" spans="1:6" x14ac:dyDescent="0.3">
      <c r="A4" t="s">
        <v>101</v>
      </c>
      <c r="B4">
        <v>51</v>
      </c>
      <c r="C4">
        <v>70</v>
      </c>
    </row>
    <row r="5" spans="1:6" x14ac:dyDescent="0.3">
      <c r="A5" t="s">
        <v>102</v>
      </c>
      <c r="B5">
        <v>105</v>
      </c>
      <c r="C5">
        <v>164</v>
      </c>
    </row>
    <row r="7" spans="1:6" x14ac:dyDescent="0.3">
      <c r="A7" t="s">
        <v>88</v>
      </c>
      <c r="B7" t="s">
        <v>3</v>
      </c>
      <c r="C7" t="s">
        <v>4</v>
      </c>
    </row>
    <row r="8" spans="1:6" x14ac:dyDescent="0.3">
      <c r="A8" t="s">
        <v>12</v>
      </c>
      <c r="B8">
        <v>19909</v>
      </c>
      <c r="C8">
        <v>37.07</v>
      </c>
    </row>
    <row r="12" spans="1:6" x14ac:dyDescent="0.3">
      <c r="A12" t="s">
        <v>41</v>
      </c>
    </row>
    <row r="13" spans="1:6" x14ac:dyDescent="0.3">
      <c r="A13">
        <v>53704</v>
      </c>
    </row>
    <row r="15" spans="1:6" x14ac:dyDescent="0.3">
      <c r="A15" t="s">
        <v>0</v>
      </c>
      <c r="B15" t="s">
        <v>1</v>
      </c>
      <c r="C15" t="s">
        <v>2</v>
      </c>
      <c r="D15" t="s">
        <v>3</v>
      </c>
      <c r="E15" t="s">
        <v>42</v>
      </c>
      <c r="F15" t="s">
        <v>4</v>
      </c>
    </row>
    <row r="16" spans="1:6" x14ac:dyDescent="0.3">
      <c r="A16" t="s">
        <v>12</v>
      </c>
      <c r="B16">
        <v>120</v>
      </c>
      <c r="C16" t="s">
        <v>8</v>
      </c>
      <c r="D16">
        <v>8374</v>
      </c>
      <c r="E16">
        <v>103</v>
      </c>
      <c r="F16">
        <v>15.59</v>
      </c>
    </row>
    <row r="17" spans="1:6" x14ac:dyDescent="0.3">
      <c r="A17" t="s">
        <v>12</v>
      </c>
      <c r="B17">
        <v>150</v>
      </c>
      <c r="C17" t="s">
        <v>9</v>
      </c>
      <c r="D17">
        <v>4111</v>
      </c>
      <c r="E17">
        <v>134</v>
      </c>
      <c r="F17">
        <v>7.65</v>
      </c>
    </row>
    <row r="18" spans="1:6" x14ac:dyDescent="0.3">
      <c r="A18" t="s">
        <v>12</v>
      </c>
      <c r="B18" t="s">
        <v>10</v>
      </c>
      <c r="C18" t="s">
        <v>11</v>
      </c>
      <c r="D18">
        <v>7424</v>
      </c>
      <c r="E18">
        <v>189</v>
      </c>
      <c r="F18">
        <v>13.82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4898-4087-4D09-AF43-75C3B0F8AE1B}">
  <sheetPr>
    <tabColor theme="4"/>
  </sheetPr>
  <dimension ref="B2:G40"/>
  <sheetViews>
    <sheetView showGridLines="0" zoomScale="70" zoomScaleNormal="70" workbookViewId="0">
      <selection activeCell="G31" sqref="G31"/>
    </sheetView>
  </sheetViews>
  <sheetFormatPr defaultRowHeight="14.4" x14ac:dyDescent="0.3"/>
  <cols>
    <col min="2" max="2" width="19.5546875" bestFit="1" customWidth="1"/>
    <col min="3" max="3" width="19.88671875" bestFit="1" customWidth="1"/>
    <col min="4" max="4" width="11.109375" bestFit="1" customWidth="1"/>
    <col min="5" max="5" width="8.21875" bestFit="1" customWidth="1"/>
    <col min="6" max="6" width="6.109375" bestFit="1" customWidth="1"/>
    <col min="7" max="7" width="18.77734375" bestFit="1" customWidth="1"/>
    <col min="11" max="11" width="19.109375" bestFit="1" customWidth="1"/>
    <col min="12" max="12" width="13.109375" bestFit="1" customWidth="1"/>
    <col min="13" max="13" width="8.6640625" bestFit="1" customWidth="1"/>
    <col min="14" max="14" width="13.109375" bestFit="1" customWidth="1"/>
    <col min="15" max="15" width="8.6640625" bestFit="1" customWidth="1"/>
    <col min="25" max="25" width="12" customWidth="1"/>
    <col min="26" max="26" width="10.21875" bestFit="1" customWidth="1"/>
  </cols>
  <sheetData>
    <row r="2" spans="2:2" ht="18" x14ac:dyDescent="0.35">
      <c r="B2" s="75" t="s">
        <v>205</v>
      </c>
    </row>
    <row r="3" spans="2:2" ht="15.6" x14ac:dyDescent="0.3">
      <c r="B3" s="84" t="s">
        <v>208</v>
      </c>
    </row>
    <row r="4" spans="2:2" ht="15.6" x14ac:dyDescent="0.3">
      <c r="B4" s="84" t="s">
        <v>209</v>
      </c>
    </row>
    <row r="29" spans="2:4" x14ac:dyDescent="0.3">
      <c r="C29" s="76" t="s">
        <v>134</v>
      </c>
      <c r="D29" s="77"/>
    </row>
    <row r="30" spans="2:4" x14ac:dyDescent="0.3">
      <c r="B30" s="12" t="s">
        <v>58</v>
      </c>
      <c r="C30" s="13" t="s">
        <v>44</v>
      </c>
      <c r="D30" s="14" t="s">
        <v>45</v>
      </c>
    </row>
    <row r="31" spans="2:4" x14ac:dyDescent="0.3">
      <c r="B31" s="15" t="s">
        <v>128</v>
      </c>
      <c r="C31" s="6">
        <v>51</v>
      </c>
      <c r="D31" s="7">
        <v>70</v>
      </c>
    </row>
    <row r="32" spans="2:4" x14ac:dyDescent="0.3">
      <c r="B32" s="21" t="s">
        <v>129</v>
      </c>
      <c r="C32" s="8">
        <v>105</v>
      </c>
      <c r="D32" s="9">
        <v>164</v>
      </c>
    </row>
    <row r="33" spans="2:7" x14ac:dyDescent="0.3">
      <c r="B33" s="3"/>
      <c r="C33" s="3"/>
      <c r="D33" s="3"/>
    </row>
    <row r="34" spans="2:7" x14ac:dyDescent="0.3">
      <c r="B34" s="22" t="s">
        <v>58</v>
      </c>
      <c r="C34" s="13" t="s">
        <v>103</v>
      </c>
      <c r="D34" s="23" t="s">
        <v>4</v>
      </c>
    </row>
    <row r="35" spans="2:7" x14ac:dyDescent="0.3">
      <c r="B35" s="17" t="s">
        <v>88</v>
      </c>
      <c r="C35" s="4">
        <v>19909</v>
      </c>
      <c r="D35" s="5">
        <v>37.07</v>
      </c>
    </row>
    <row r="36" spans="2:7" x14ac:dyDescent="0.3">
      <c r="F36" s="3"/>
      <c r="G36" s="3"/>
    </row>
    <row r="37" spans="2:7" x14ac:dyDescent="0.3">
      <c r="B37" s="22" t="s">
        <v>58</v>
      </c>
      <c r="C37" s="13" t="s">
        <v>133</v>
      </c>
      <c r="D37" s="13" t="s">
        <v>131</v>
      </c>
      <c r="E37" s="13" t="s">
        <v>103</v>
      </c>
      <c r="F37" s="13" t="s">
        <v>130</v>
      </c>
      <c r="G37" s="14" t="s">
        <v>132</v>
      </c>
    </row>
    <row r="38" spans="2:7" x14ac:dyDescent="0.3">
      <c r="B38" s="17" t="s">
        <v>88</v>
      </c>
      <c r="C38" s="6">
        <v>120</v>
      </c>
      <c r="D38" s="6" t="s">
        <v>8</v>
      </c>
      <c r="E38" s="6">
        <v>8374</v>
      </c>
      <c r="F38" s="6">
        <v>15.59</v>
      </c>
      <c r="G38" s="7">
        <v>103</v>
      </c>
    </row>
    <row r="39" spans="2:7" x14ac:dyDescent="0.3">
      <c r="B39" s="16" t="s">
        <v>88</v>
      </c>
      <c r="C39" s="10">
        <v>150</v>
      </c>
      <c r="D39" s="10" t="s">
        <v>9</v>
      </c>
      <c r="E39" s="10">
        <v>4111</v>
      </c>
      <c r="F39" s="10">
        <v>7.65</v>
      </c>
      <c r="G39" s="11">
        <v>134</v>
      </c>
    </row>
    <row r="40" spans="2:7" x14ac:dyDescent="0.3">
      <c r="B40" s="17" t="s">
        <v>88</v>
      </c>
      <c r="C40" s="4" t="s">
        <v>10</v>
      </c>
      <c r="D40" s="4" t="s">
        <v>11</v>
      </c>
      <c r="E40" s="4">
        <v>7424</v>
      </c>
      <c r="F40" s="4">
        <v>13.82</v>
      </c>
      <c r="G40" s="5">
        <v>189</v>
      </c>
    </row>
  </sheetData>
  <mergeCells count="1">
    <mergeCell ref="C29:D2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4D1B-4FCC-4F64-B2D8-0B63E423FF81}">
  <sheetPr>
    <tabColor theme="4"/>
  </sheetPr>
  <dimension ref="B2:N33"/>
  <sheetViews>
    <sheetView showGridLines="0" topLeftCell="A3" zoomScale="70" zoomScaleNormal="70" workbookViewId="0">
      <selection activeCell="L26" sqref="L26"/>
    </sheetView>
  </sheetViews>
  <sheetFormatPr defaultRowHeight="14.4" x14ac:dyDescent="0.3"/>
  <cols>
    <col min="13" max="13" width="16.33203125" bestFit="1" customWidth="1"/>
    <col min="14" max="14" width="12.77734375" bestFit="1" customWidth="1"/>
    <col min="15" max="15" width="15" bestFit="1" customWidth="1"/>
    <col min="16" max="16" width="13.109375" customWidth="1"/>
    <col min="17" max="17" width="9.109375" customWidth="1"/>
  </cols>
  <sheetData>
    <row r="2" spans="2:2" ht="18" x14ac:dyDescent="0.35">
      <c r="B2" s="75" t="s">
        <v>205</v>
      </c>
    </row>
    <row r="3" spans="2:2" ht="15.6" x14ac:dyDescent="0.3">
      <c r="B3" s="84" t="s">
        <v>210</v>
      </c>
    </row>
    <row r="4" spans="2:2" ht="15.6" x14ac:dyDescent="0.3">
      <c r="B4" s="84" t="s">
        <v>211</v>
      </c>
    </row>
    <row r="23" spans="12:14" x14ac:dyDescent="0.3">
      <c r="L23" t="s">
        <v>212</v>
      </c>
    </row>
    <row r="25" spans="12:14" ht="23.4" x14ac:dyDescent="0.3">
      <c r="L25" s="83" t="s">
        <v>204</v>
      </c>
    </row>
    <row r="27" spans="12:14" x14ac:dyDescent="0.3">
      <c r="L27" s="51" t="s">
        <v>51</v>
      </c>
      <c r="M27" s="59" t="s">
        <v>153</v>
      </c>
      <c r="N27" s="14" t="s">
        <v>130</v>
      </c>
    </row>
    <row r="28" spans="12:14" x14ac:dyDescent="0.3">
      <c r="L28" s="60" t="s">
        <v>52</v>
      </c>
      <c r="M28" s="63">
        <v>81438</v>
      </c>
      <c r="N28" s="7">
        <v>58.36</v>
      </c>
    </row>
    <row r="29" spans="12:14" x14ac:dyDescent="0.3">
      <c r="L29" s="61" t="s">
        <v>53</v>
      </c>
      <c r="M29" s="64">
        <v>11766</v>
      </c>
      <c r="N29" s="11">
        <v>8.43</v>
      </c>
    </row>
    <row r="30" spans="12:14" x14ac:dyDescent="0.3">
      <c r="L30" s="60" t="s">
        <v>54</v>
      </c>
      <c r="M30" s="63">
        <v>16130</v>
      </c>
      <c r="N30" s="7">
        <v>11.56</v>
      </c>
    </row>
    <row r="31" spans="12:14" x14ac:dyDescent="0.3">
      <c r="L31" s="61" t="s">
        <v>55</v>
      </c>
      <c r="M31" s="64">
        <v>5034</v>
      </c>
      <c r="N31" s="11">
        <v>3.61</v>
      </c>
    </row>
    <row r="32" spans="12:14" x14ac:dyDescent="0.3">
      <c r="L32" s="60" t="s">
        <v>56</v>
      </c>
      <c r="M32" s="63">
        <v>123</v>
      </c>
      <c r="N32" s="7">
        <v>0.09</v>
      </c>
    </row>
    <row r="33" spans="12:14" x14ac:dyDescent="0.3">
      <c r="L33" s="62" t="s">
        <v>57</v>
      </c>
      <c r="M33" s="65">
        <v>25058</v>
      </c>
      <c r="N33" s="9">
        <v>17.96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B02E-6E5B-424E-8396-C621B290C42E}">
  <dimension ref="A1:Q16"/>
  <sheetViews>
    <sheetView zoomScale="70" zoomScaleNormal="70" workbookViewId="0">
      <selection activeCell="L4" sqref="L4"/>
    </sheetView>
  </sheetViews>
  <sheetFormatPr defaultRowHeight="14.4" x14ac:dyDescent="0.3"/>
  <cols>
    <col min="1" max="1" width="19.21875" bestFit="1" customWidth="1"/>
    <col min="6" max="6" width="12.44140625" bestFit="1" customWidth="1"/>
    <col min="7" max="7" width="11.5546875" bestFit="1" customWidth="1"/>
    <col min="8" max="8" width="10.109375" bestFit="1" customWidth="1"/>
    <col min="9" max="9" width="6.33203125" bestFit="1" customWidth="1"/>
    <col min="10" max="10" width="6.33203125" customWidth="1"/>
    <col min="12" max="12" width="13.44140625" bestFit="1" customWidth="1"/>
    <col min="13" max="13" width="7.6640625" bestFit="1" customWidth="1"/>
    <col min="14" max="14" width="4.6640625" bestFit="1" customWidth="1"/>
    <col min="15" max="15" width="4.6640625" customWidth="1"/>
  </cols>
  <sheetData>
    <row r="1" spans="1:17" s="75" customFormat="1" ht="18" x14ac:dyDescent="0.35">
      <c r="A1" s="74" t="s">
        <v>186</v>
      </c>
      <c r="F1" s="74" t="s">
        <v>180</v>
      </c>
      <c r="L1" s="74" t="s">
        <v>179</v>
      </c>
      <c r="Q1" s="74" t="s">
        <v>181</v>
      </c>
    </row>
    <row r="3" spans="1:17" x14ac:dyDescent="0.3">
      <c r="A3" t="s">
        <v>43</v>
      </c>
      <c r="B3" t="s">
        <v>44</v>
      </c>
      <c r="C3" t="s">
        <v>45</v>
      </c>
      <c r="F3" t="s">
        <v>138</v>
      </c>
      <c r="G3" t="s">
        <v>58</v>
      </c>
      <c r="H3" t="s">
        <v>139</v>
      </c>
      <c r="I3" t="s">
        <v>45</v>
      </c>
      <c r="L3" s="1" t="s">
        <v>199</v>
      </c>
      <c r="M3" t="s">
        <v>44</v>
      </c>
      <c r="N3" t="s">
        <v>142</v>
      </c>
    </row>
    <row r="4" spans="1:17" x14ac:dyDescent="0.3">
      <c r="A4" t="s">
        <v>46</v>
      </c>
      <c r="B4">
        <v>10</v>
      </c>
      <c r="C4">
        <v>34</v>
      </c>
      <c r="F4" t="s">
        <v>140</v>
      </c>
      <c r="G4" t="s">
        <v>156</v>
      </c>
      <c r="H4">
        <v>10</v>
      </c>
      <c r="I4">
        <v>34</v>
      </c>
      <c r="L4" s="2" t="s">
        <v>156</v>
      </c>
      <c r="M4">
        <v>29</v>
      </c>
      <c r="N4">
        <v>89</v>
      </c>
    </row>
    <row r="5" spans="1:17" x14ac:dyDescent="0.3">
      <c r="A5" t="s">
        <v>47</v>
      </c>
      <c r="B5">
        <v>14</v>
      </c>
      <c r="C5">
        <v>45</v>
      </c>
      <c r="F5" t="s">
        <v>140</v>
      </c>
      <c r="G5" t="s">
        <v>157</v>
      </c>
      <c r="H5">
        <v>14</v>
      </c>
      <c r="I5">
        <v>45</v>
      </c>
      <c r="L5" s="20" t="s">
        <v>140</v>
      </c>
      <c r="M5">
        <v>10</v>
      </c>
      <c r="N5">
        <v>34</v>
      </c>
    </row>
    <row r="6" spans="1:17" x14ac:dyDescent="0.3">
      <c r="A6" t="s">
        <v>48</v>
      </c>
      <c r="B6">
        <v>36</v>
      </c>
      <c r="C6">
        <v>90</v>
      </c>
      <c r="F6" t="s">
        <v>140</v>
      </c>
      <c r="G6" t="s">
        <v>158</v>
      </c>
      <c r="H6">
        <v>36</v>
      </c>
      <c r="I6">
        <v>90</v>
      </c>
      <c r="L6" s="20" t="s">
        <v>154</v>
      </c>
      <c r="M6">
        <v>5</v>
      </c>
      <c r="N6">
        <v>16</v>
      </c>
    </row>
    <row r="7" spans="1:17" x14ac:dyDescent="0.3">
      <c r="F7" s="47" t="s">
        <v>154</v>
      </c>
      <c r="G7" t="s">
        <v>156</v>
      </c>
      <c r="H7">
        <v>5</v>
      </c>
      <c r="I7">
        <v>16</v>
      </c>
      <c r="L7" s="20" t="s">
        <v>155</v>
      </c>
      <c r="M7">
        <v>14</v>
      </c>
      <c r="N7">
        <v>39</v>
      </c>
    </row>
    <row r="8" spans="1:17" x14ac:dyDescent="0.3">
      <c r="A8" t="s">
        <v>49</v>
      </c>
      <c r="B8" t="s">
        <v>44</v>
      </c>
      <c r="C8" t="s">
        <v>45</v>
      </c>
      <c r="F8" s="47" t="s">
        <v>154</v>
      </c>
      <c r="G8" t="s">
        <v>157</v>
      </c>
      <c r="H8">
        <v>14</v>
      </c>
      <c r="I8">
        <v>36</v>
      </c>
      <c r="L8" s="2" t="s">
        <v>157</v>
      </c>
      <c r="M8">
        <v>42</v>
      </c>
      <c r="N8">
        <v>137</v>
      </c>
    </row>
    <row r="9" spans="1:17" x14ac:dyDescent="0.3">
      <c r="A9" t="s">
        <v>46</v>
      </c>
      <c r="B9">
        <v>5</v>
      </c>
      <c r="C9">
        <v>16</v>
      </c>
      <c r="F9" s="47" t="s">
        <v>154</v>
      </c>
      <c r="G9" t="s">
        <v>158</v>
      </c>
      <c r="H9">
        <v>24</v>
      </c>
      <c r="I9">
        <v>47</v>
      </c>
      <c r="L9" s="20" t="s">
        <v>140</v>
      </c>
      <c r="M9">
        <v>14</v>
      </c>
      <c r="N9">
        <v>45</v>
      </c>
    </row>
    <row r="10" spans="1:17" x14ac:dyDescent="0.3">
      <c r="A10" t="s">
        <v>47</v>
      </c>
      <c r="B10">
        <v>14</v>
      </c>
      <c r="C10">
        <v>36</v>
      </c>
      <c r="F10" s="47" t="s">
        <v>155</v>
      </c>
      <c r="G10" t="s">
        <v>156</v>
      </c>
      <c r="H10">
        <v>14</v>
      </c>
      <c r="I10">
        <v>39</v>
      </c>
      <c r="L10" s="20" t="s">
        <v>154</v>
      </c>
      <c r="M10">
        <v>14</v>
      </c>
      <c r="N10">
        <v>36</v>
      </c>
    </row>
    <row r="11" spans="1:17" x14ac:dyDescent="0.3">
      <c r="A11" t="s">
        <v>48</v>
      </c>
      <c r="B11">
        <v>24</v>
      </c>
      <c r="C11">
        <v>47</v>
      </c>
      <c r="F11" s="47" t="s">
        <v>155</v>
      </c>
      <c r="G11" t="s">
        <v>157</v>
      </c>
      <c r="H11">
        <v>14</v>
      </c>
      <c r="I11">
        <v>56</v>
      </c>
      <c r="L11" s="20" t="s">
        <v>155</v>
      </c>
      <c r="M11">
        <v>14</v>
      </c>
      <c r="N11">
        <v>56</v>
      </c>
    </row>
    <row r="12" spans="1:17" x14ac:dyDescent="0.3">
      <c r="F12" s="47" t="s">
        <v>155</v>
      </c>
      <c r="G12" t="s">
        <v>158</v>
      </c>
      <c r="H12">
        <v>65</v>
      </c>
      <c r="I12">
        <v>104</v>
      </c>
      <c r="L12" s="2" t="s">
        <v>158</v>
      </c>
      <c r="M12">
        <v>125</v>
      </c>
      <c r="N12">
        <v>241</v>
      </c>
    </row>
    <row r="13" spans="1:17" x14ac:dyDescent="0.3">
      <c r="A13" t="s">
        <v>50</v>
      </c>
      <c r="B13" t="s">
        <v>44</v>
      </c>
      <c r="C13" t="s">
        <v>45</v>
      </c>
      <c r="L13" s="20" t="s">
        <v>140</v>
      </c>
      <c r="M13">
        <v>36</v>
      </c>
      <c r="N13">
        <v>90</v>
      </c>
    </row>
    <row r="14" spans="1:17" x14ac:dyDescent="0.3">
      <c r="A14" t="s">
        <v>46</v>
      </c>
      <c r="B14">
        <v>14</v>
      </c>
      <c r="C14">
        <v>39</v>
      </c>
      <c r="L14" s="20" t="s">
        <v>154</v>
      </c>
      <c r="M14">
        <v>24</v>
      </c>
      <c r="N14">
        <v>47</v>
      </c>
    </row>
    <row r="15" spans="1:17" x14ac:dyDescent="0.3">
      <c r="A15" t="s">
        <v>47</v>
      </c>
      <c r="B15">
        <v>14</v>
      </c>
      <c r="C15">
        <v>56</v>
      </c>
      <c r="L15" s="20" t="s">
        <v>155</v>
      </c>
      <c r="M15">
        <v>65</v>
      </c>
      <c r="N15">
        <v>104</v>
      </c>
    </row>
    <row r="16" spans="1:17" x14ac:dyDescent="0.3">
      <c r="A16" t="s">
        <v>48</v>
      </c>
      <c r="B16">
        <v>65</v>
      </c>
      <c r="C16">
        <v>104</v>
      </c>
      <c r="L16" s="2" t="s">
        <v>141</v>
      </c>
      <c r="M16">
        <v>196</v>
      </c>
      <c r="N16">
        <v>467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F275-8405-40A6-B27C-B0C7CF326F34}">
  <dimension ref="A1:I13"/>
  <sheetViews>
    <sheetView workbookViewId="0">
      <selection sqref="A1:A1048576"/>
    </sheetView>
  </sheetViews>
  <sheetFormatPr defaultRowHeight="14.4" x14ac:dyDescent="0.3"/>
  <cols>
    <col min="1" max="1" width="14.6640625" customWidth="1"/>
    <col min="2" max="2" width="14.44140625" bestFit="1" customWidth="1"/>
    <col min="3" max="3" width="7.5546875" bestFit="1" customWidth="1"/>
  </cols>
  <sheetData>
    <row r="1" spans="1:9" ht="18" x14ac:dyDescent="0.35">
      <c r="A1" s="74" t="s">
        <v>178</v>
      </c>
      <c r="B1" s="75"/>
      <c r="C1" s="75"/>
      <c r="D1" s="75"/>
      <c r="E1" s="75"/>
      <c r="F1" s="74"/>
      <c r="G1" s="75"/>
      <c r="H1" s="74" t="s">
        <v>181</v>
      </c>
      <c r="I1" s="75"/>
    </row>
    <row r="2" spans="1:9" x14ac:dyDescent="0.3">
      <c r="A2" t="s">
        <v>189</v>
      </c>
    </row>
    <row r="3" spans="1:9" x14ac:dyDescent="0.3">
      <c r="A3" t="s">
        <v>51</v>
      </c>
      <c r="B3" t="s">
        <v>153</v>
      </c>
      <c r="C3" t="s">
        <v>4</v>
      </c>
    </row>
    <row r="4" spans="1:9" x14ac:dyDescent="0.3">
      <c r="A4" t="s">
        <v>52</v>
      </c>
      <c r="B4">
        <v>81438</v>
      </c>
      <c r="C4">
        <v>58.36</v>
      </c>
    </row>
    <row r="5" spans="1:9" x14ac:dyDescent="0.3">
      <c r="A5" t="s">
        <v>53</v>
      </c>
      <c r="B5">
        <v>11766</v>
      </c>
      <c r="C5">
        <v>8.43</v>
      </c>
    </row>
    <row r="6" spans="1:9" x14ac:dyDescent="0.3">
      <c r="A6" t="s">
        <v>54</v>
      </c>
      <c r="B6">
        <v>16130</v>
      </c>
      <c r="C6">
        <v>11.56</v>
      </c>
    </row>
    <row r="7" spans="1:9" x14ac:dyDescent="0.3">
      <c r="A7" t="s">
        <v>55</v>
      </c>
      <c r="B7">
        <v>5034</v>
      </c>
      <c r="C7">
        <v>3.61</v>
      </c>
    </row>
    <row r="8" spans="1:9" x14ac:dyDescent="0.3">
      <c r="A8" t="s">
        <v>56</v>
      </c>
      <c r="B8">
        <v>123</v>
      </c>
      <c r="C8">
        <v>0.09</v>
      </c>
    </row>
    <row r="9" spans="1:9" x14ac:dyDescent="0.3">
      <c r="A9" t="s">
        <v>57</v>
      </c>
      <c r="B9">
        <v>25058</v>
      </c>
      <c r="C9">
        <v>17.96</v>
      </c>
    </row>
    <row r="13" spans="1:9" x14ac:dyDescent="0.3">
      <c r="B13" s="49"/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6AB2-EE7A-418E-A4AE-469AD460FCEE}">
  <dimension ref="A1:N16"/>
  <sheetViews>
    <sheetView workbookViewId="0">
      <selection activeCell="J4" sqref="J4"/>
    </sheetView>
  </sheetViews>
  <sheetFormatPr defaultRowHeight="14.4" x14ac:dyDescent="0.3"/>
  <cols>
    <col min="1" max="1" width="15.33203125" customWidth="1"/>
    <col min="5" max="5" width="12.44140625" bestFit="1" customWidth="1"/>
    <col min="6" max="6" width="11.5546875" bestFit="1" customWidth="1"/>
    <col min="7" max="7" width="10.109375" bestFit="1" customWidth="1"/>
    <col min="8" max="8" width="10.109375" customWidth="1"/>
    <col min="10" max="10" width="12.5546875" bestFit="1" customWidth="1"/>
    <col min="11" max="11" width="8.33203125" bestFit="1" customWidth="1"/>
    <col min="12" max="12" width="8.33203125" customWidth="1"/>
  </cols>
  <sheetData>
    <row r="1" spans="1:14" s="75" customFormat="1" ht="18" x14ac:dyDescent="0.35">
      <c r="A1" s="74" t="s">
        <v>186</v>
      </c>
      <c r="E1" s="74" t="s">
        <v>180</v>
      </c>
      <c r="J1" s="74" t="s">
        <v>179</v>
      </c>
      <c r="N1" s="74" t="s">
        <v>181</v>
      </c>
    </row>
    <row r="3" spans="1:14" x14ac:dyDescent="0.3">
      <c r="A3" t="s">
        <v>58</v>
      </c>
      <c r="B3" t="s">
        <v>44</v>
      </c>
      <c r="E3" t="s">
        <v>138</v>
      </c>
      <c r="F3" t="s">
        <v>58</v>
      </c>
      <c r="G3" t="s">
        <v>139</v>
      </c>
      <c r="J3" s="1" t="s">
        <v>198</v>
      </c>
      <c r="K3" t="s">
        <v>143</v>
      </c>
    </row>
    <row r="4" spans="1:14" x14ac:dyDescent="0.3">
      <c r="A4" t="s">
        <v>46</v>
      </c>
      <c r="B4">
        <v>11.86</v>
      </c>
      <c r="E4" t="s">
        <v>140</v>
      </c>
      <c r="F4" t="s">
        <v>156</v>
      </c>
      <c r="G4" s="19">
        <v>11.86</v>
      </c>
      <c r="H4" s="19"/>
      <c r="J4" s="2" t="s">
        <v>156</v>
      </c>
      <c r="K4" s="48">
        <v>35.29</v>
      </c>
      <c r="L4" s="48"/>
    </row>
    <row r="5" spans="1:14" x14ac:dyDescent="0.3">
      <c r="A5" t="s">
        <v>47</v>
      </c>
      <c r="B5">
        <v>21.82</v>
      </c>
      <c r="E5" t="s">
        <v>140</v>
      </c>
      <c r="F5" t="s">
        <v>157</v>
      </c>
      <c r="G5" s="19">
        <v>21.82</v>
      </c>
      <c r="H5" s="19"/>
      <c r="J5" s="20" t="s">
        <v>140</v>
      </c>
      <c r="K5" s="48">
        <v>11.86</v>
      </c>
      <c r="L5" s="48"/>
    </row>
    <row r="6" spans="1:14" x14ac:dyDescent="0.3">
      <c r="A6" t="s">
        <v>48</v>
      </c>
      <c r="B6">
        <v>59.42</v>
      </c>
      <c r="E6" t="s">
        <v>140</v>
      </c>
      <c r="F6" t="s">
        <v>158</v>
      </c>
      <c r="G6" s="19">
        <v>59.42</v>
      </c>
      <c r="H6" s="19"/>
      <c r="J6" s="20" t="s">
        <v>154</v>
      </c>
      <c r="K6" s="48">
        <v>10.77</v>
      </c>
      <c r="L6" s="48"/>
    </row>
    <row r="7" spans="1:14" x14ac:dyDescent="0.3">
      <c r="E7" s="47" t="s">
        <v>154</v>
      </c>
      <c r="F7" t="s">
        <v>156</v>
      </c>
      <c r="G7" s="19">
        <v>10.77</v>
      </c>
      <c r="H7" s="19"/>
      <c r="J7" s="20" t="s">
        <v>155</v>
      </c>
      <c r="K7" s="48">
        <v>12.66</v>
      </c>
      <c r="L7" s="48"/>
    </row>
    <row r="8" spans="1:14" x14ac:dyDescent="0.3">
      <c r="A8" t="s">
        <v>59</v>
      </c>
      <c r="B8" t="s">
        <v>44</v>
      </c>
      <c r="E8" s="47" t="s">
        <v>154</v>
      </c>
      <c r="F8" t="s">
        <v>157</v>
      </c>
      <c r="G8" s="19">
        <v>29.55</v>
      </c>
      <c r="H8" s="19"/>
      <c r="J8" s="2" t="s">
        <v>157</v>
      </c>
      <c r="K8" s="48">
        <v>65.350000000000009</v>
      </c>
      <c r="L8" s="48"/>
    </row>
    <row r="9" spans="1:14" x14ac:dyDescent="0.3">
      <c r="A9" t="s">
        <v>46</v>
      </c>
      <c r="B9">
        <v>10.77</v>
      </c>
      <c r="E9" s="47" t="s">
        <v>154</v>
      </c>
      <c r="F9" t="s">
        <v>158</v>
      </c>
      <c r="G9" s="19">
        <v>53.66</v>
      </c>
      <c r="H9" s="19"/>
      <c r="J9" s="20" t="s">
        <v>140</v>
      </c>
      <c r="K9" s="48">
        <v>21.82</v>
      </c>
      <c r="L9" s="48"/>
    </row>
    <row r="10" spans="1:14" x14ac:dyDescent="0.3">
      <c r="A10" t="s">
        <v>47</v>
      </c>
      <c r="B10">
        <v>29.55</v>
      </c>
      <c r="E10" s="47" t="s">
        <v>155</v>
      </c>
      <c r="F10" t="s">
        <v>156</v>
      </c>
      <c r="G10" s="19">
        <v>12.66</v>
      </c>
      <c r="H10" s="19"/>
      <c r="J10" s="20" t="s">
        <v>154</v>
      </c>
      <c r="K10" s="48">
        <v>29.55</v>
      </c>
      <c r="L10" s="48"/>
    </row>
    <row r="11" spans="1:14" x14ac:dyDescent="0.3">
      <c r="A11" t="s">
        <v>48</v>
      </c>
      <c r="B11">
        <v>53.66</v>
      </c>
      <c r="E11" s="47" t="s">
        <v>155</v>
      </c>
      <c r="F11" t="s">
        <v>157</v>
      </c>
      <c r="G11" s="19">
        <v>13.98</v>
      </c>
      <c r="H11" s="19"/>
      <c r="J11" s="20" t="s">
        <v>155</v>
      </c>
      <c r="K11" s="48">
        <v>13.98</v>
      </c>
      <c r="L11" s="48"/>
    </row>
    <row r="12" spans="1:14" x14ac:dyDescent="0.3">
      <c r="E12" s="47" t="s">
        <v>155</v>
      </c>
      <c r="F12" t="s">
        <v>158</v>
      </c>
      <c r="G12" s="19">
        <v>66.09</v>
      </c>
      <c r="H12" s="19"/>
      <c r="J12" s="2" t="s">
        <v>158</v>
      </c>
      <c r="K12" s="48">
        <v>179.17000000000002</v>
      </c>
      <c r="L12" s="48"/>
    </row>
    <row r="13" spans="1:14" x14ac:dyDescent="0.3">
      <c r="A13" t="s">
        <v>60</v>
      </c>
      <c r="B13" t="s">
        <v>44</v>
      </c>
      <c r="J13" s="20" t="s">
        <v>140</v>
      </c>
      <c r="K13" s="48">
        <v>59.42</v>
      </c>
      <c r="L13" s="48"/>
    </row>
    <row r="14" spans="1:14" x14ac:dyDescent="0.3">
      <c r="A14" t="s">
        <v>46</v>
      </c>
      <c r="B14">
        <v>12.66</v>
      </c>
      <c r="J14" s="20" t="s">
        <v>154</v>
      </c>
      <c r="K14" s="48">
        <v>53.66</v>
      </c>
      <c r="L14" s="48"/>
    </row>
    <row r="15" spans="1:14" x14ac:dyDescent="0.3">
      <c r="A15" t="s">
        <v>47</v>
      </c>
      <c r="B15">
        <v>13.98</v>
      </c>
      <c r="J15" s="20" t="s">
        <v>155</v>
      </c>
      <c r="K15" s="48">
        <v>66.09</v>
      </c>
      <c r="L15" s="48"/>
    </row>
    <row r="16" spans="1:14" x14ac:dyDescent="0.3">
      <c r="A16" t="s">
        <v>48</v>
      </c>
      <c r="B16">
        <v>66.09</v>
      </c>
      <c r="J16" s="2" t="s">
        <v>141</v>
      </c>
      <c r="K16" s="48">
        <v>279.81</v>
      </c>
      <c r="L16" s="48"/>
    </row>
  </sheetData>
  <pageMargins left="0.7" right="0.7" top="0.75" bottom="0.75" header="0.3" footer="0.3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8EE6-2256-4D7D-A1FB-8CB7EE79C636}">
  <sheetPr>
    <tabColor theme="4"/>
  </sheetPr>
  <dimension ref="B2:AA22"/>
  <sheetViews>
    <sheetView showGridLines="0" zoomScale="70" zoomScaleNormal="70" workbookViewId="0">
      <selection activeCell="B2" sqref="B2"/>
    </sheetView>
  </sheetViews>
  <sheetFormatPr defaultRowHeight="14.4" x14ac:dyDescent="0.3"/>
  <cols>
    <col min="15" max="15" width="5.6640625" customWidth="1"/>
    <col min="16" max="16" width="11.77734375" customWidth="1"/>
    <col min="17" max="17" width="11.5546875" customWidth="1"/>
    <col min="18" max="18" width="13" customWidth="1"/>
    <col min="19" max="19" width="13.6640625" customWidth="1"/>
    <col min="24" max="24" width="11.21875" bestFit="1" customWidth="1"/>
    <col min="25" max="25" width="11.109375" bestFit="1" customWidth="1"/>
    <col min="26" max="26" width="12.44140625" bestFit="1" customWidth="1"/>
    <col min="27" max="27" width="12.33203125" bestFit="1" customWidth="1"/>
  </cols>
  <sheetData>
    <row r="2" spans="2:27" ht="18" x14ac:dyDescent="0.35">
      <c r="B2" s="75" t="s">
        <v>205</v>
      </c>
    </row>
    <row r="3" spans="2:27" ht="15.6" x14ac:dyDescent="0.3">
      <c r="B3" s="84" t="s">
        <v>213</v>
      </c>
    </row>
    <row r="4" spans="2:27" ht="15.6" x14ac:dyDescent="0.3">
      <c r="B4" s="84" t="s">
        <v>214</v>
      </c>
    </row>
    <row r="6" spans="2:27" x14ac:dyDescent="0.3">
      <c r="W6" s="58" t="s">
        <v>147</v>
      </c>
      <c r="X6" s="59" t="s">
        <v>148</v>
      </c>
      <c r="Y6" s="59" t="s">
        <v>149</v>
      </c>
      <c r="Z6" s="59" t="s">
        <v>150</v>
      </c>
      <c r="AA6" s="14" t="s">
        <v>151</v>
      </c>
    </row>
    <row r="7" spans="2:27" x14ac:dyDescent="0.3">
      <c r="W7" s="52">
        <v>1</v>
      </c>
      <c r="X7" s="55">
        <v>196</v>
      </c>
      <c r="Y7" s="55">
        <v>4175</v>
      </c>
      <c r="Z7" s="55">
        <v>99.52</v>
      </c>
      <c r="AA7" s="7">
        <v>9.9499999999999993</v>
      </c>
    </row>
    <row r="8" spans="2:27" x14ac:dyDescent="0.3">
      <c r="W8" s="53">
        <v>2</v>
      </c>
      <c r="X8" s="56">
        <v>1294</v>
      </c>
      <c r="Y8" s="56">
        <v>3566</v>
      </c>
      <c r="Z8" s="56">
        <v>80.94</v>
      </c>
      <c r="AA8" s="11">
        <v>8.5</v>
      </c>
    </row>
    <row r="9" spans="2:27" x14ac:dyDescent="0.3">
      <c r="W9" s="52">
        <v>3</v>
      </c>
      <c r="X9" s="55">
        <v>1696</v>
      </c>
      <c r="Y9" s="55">
        <v>2673</v>
      </c>
      <c r="Z9" s="55">
        <v>76.88</v>
      </c>
      <c r="AA9" s="7">
        <v>6.37</v>
      </c>
    </row>
    <row r="10" spans="2:27" x14ac:dyDescent="0.3">
      <c r="W10" s="53">
        <v>4</v>
      </c>
      <c r="X10" s="56">
        <v>24</v>
      </c>
      <c r="Y10" s="56">
        <v>2351</v>
      </c>
      <c r="Z10" s="56">
        <v>83.16</v>
      </c>
      <c r="AA10" s="11">
        <v>5.6</v>
      </c>
    </row>
    <row r="11" spans="2:27" x14ac:dyDescent="0.3">
      <c r="W11" s="52">
        <v>5</v>
      </c>
      <c r="X11" s="55">
        <v>789</v>
      </c>
      <c r="Y11" s="55">
        <v>1999</v>
      </c>
      <c r="Z11" s="55">
        <v>99.95</v>
      </c>
      <c r="AA11" s="7">
        <v>4.7699999999999996</v>
      </c>
    </row>
    <row r="12" spans="2:27" x14ac:dyDescent="0.3">
      <c r="W12" s="53">
        <v>6</v>
      </c>
      <c r="X12" s="56">
        <v>531</v>
      </c>
      <c r="Y12" s="56">
        <v>1633</v>
      </c>
      <c r="Z12" s="56">
        <v>100</v>
      </c>
      <c r="AA12" s="11">
        <v>3.89</v>
      </c>
    </row>
    <row r="13" spans="2:27" x14ac:dyDescent="0.3">
      <c r="W13" s="52">
        <v>7</v>
      </c>
      <c r="X13" s="55">
        <v>739</v>
      </c>
      <c r="Y13" s="55">
        <v>1065</v>
      </c>
      <c r="Z13" s="55">
        <v>59.76</v>
      </c>
      <c r="AA13" s="7">
        <v>2.54</v>
      </c>
    </row>
    <row r="14" spans="2:27" x14ac:dyDescent="0.3">
      <c r="W14" s="53">
        <v>8</v>
      </c>
      <c r="X14" s="56">
        <v>4</v>
      </c>
      <c r="Y14" s="56">
        <v>907</v>
      </c>
      <c r="Z14" s="56">
        <v>94.28</v>
      </c>
      <c r="AA14" s="11">
        <v>2.16</v>
      </c>
    </row>
    <row r="15" spans="2:27" x14ac:dyDescent="0.3">
      <c r="W15" s="52">
        <v>9</v>
      </c>
      <c r="X15" s="55">
        <v>1468</v>
      </c>
      <c r="Y15" s="55">
        <v>601</v>
      </c>
      <c r="Z15" s="55">
        <v>53.85</v>
      </c>
      <c r="AA15" s="7">
        <v>1.43</v>
      </c>
    </row>
    <row r="16" spans="2:27" x14ac:dyDescent="0.3">
      <c r="W16" s="53">
        <v>10</v>
      </c>
      <c r="X16" s="56">
        <v>995</v>
      </c>
      <c r="Y16" s="56">
        <v>507</v>
      </c>
      <c r="Z16" s="56">
        <v>39.03</v>
      </c>
      <c r="AA16" s="11">
        <v>1.21</v>
      </c>
    </row>
    <row r="17" spans="23:27" x14ac:dyDescent="0.3">
      <c r="W17" s="52">
        <v>11</v>
      </c>
      <c r="X17" s="55">
        <v>1501</v>
      </c>
      <c r="Y17" s="55">
        <v>461</v>
      </c>
      <c r="Z17" s="55">
        <v>72.37</v>
      </c>
      <c r="AA17" s="7">
        <v>1.1000000000000001</v>
      </c>
    </row>
    <row r="18" spans="23:27" x14ac:dyDescent="0.3">
      <c r="W18" s="53">
        <v>12</v>
      </c>
      <c r="X18" s="56">
        <v>1236</v>
      </c>
      <c r="Y18" s="56">
        <v>456</v>
      </c>
      <c r="Z18" s="56">
        <v>24.1</v>
      </c>
      <c r="AA18" s="11">
        <v>1.0900000000000001</v>
      </c>
    </row>
    <row r="19" spans="23:27" x14ac:dyDescent="0.3">
      <c r="W19" s="52">
        <v>13</v>
      </c>
      <c r="X19" s="55">
        <v>968</v>
      </c>
      <c r="Y19" s="55">
        <v>437</v>
      </c>
      <c r="Z19" s="55">
        <v>99.54</v>
      </c>
      <c r="AA19" s="7">
        <v>1.04</v>
      </c>
    </row>
    <row r="20" spans="23:27" x14ac:dyDescent="0.3">
      <c r="W20" s="53">
        <v>14</v>
      </c>
      <c r="X20" s="56">
        <v>166</v>
      </c>
      <c r="Y20" s="56">
        <v>419</v>
      </c>
      <c r="Z20" s="56">
        <v>96.1</v>
      </c>
      <c r="AA20" s="11">
        <v>1</v>
      </c>
    </row>
    <row r="21" spans="23:27" x14ac:dyDescent="0.3">
      <c r="W21" s="52">
        <v>15</v>
      </c>
      <c r="X21" s="55">
        <v>921</v>
      </c>
      <c r="Y21" s="55">
        <v>421</v>
      </c>
      <c r="Z21" s="55">
        <v>87.34</v>
      </c>
      <c r="AA21" s="7">
        <v>1</v>
      </c>
    </row>
    <row r="22" spans="23:27" x14ac:dyDescent="0.3">
      <c r="W22" s="54" t="s">
        <v>152</v>
      </c>
      <c r="X22" s="57"/>
      <c r="Y22" s="57"/>
      <c r="Z22" s="57"/>
      <c r="AA22" s="11">
        <f>SUM(AA7:AA21)</f>
        <v>51.650000000000006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D492-0C19-48A6-AEB3-DBA36EF59644}">
  <dimension ref="A1:N137"/>
  <sheetViews>
    <sheetView topLeftCell="C1" zoomScale="70" zoomScaleNormal="70" workbookViewId="0">
      <selection activeCell="A2" sqref="A2"/>
    </sheetView>
  </sheetViews>
  <sheetFormatPr defaultRowHeight="14.4" x14ac:dyDescent="0.3"/>
  <cols>
    <col min="1" max="1" width="13.109375" customWidth="1"/>
    <col min="2" max="2" width="12.5546875" customWidth="1"/>
    <col min="3" max="3" width="13" customWidth="1"/>
    <col min="4" max="4" width="14.44140625" customWidth="1"/>
    <col min="5" max="5" width="14.5546875" customWidth="1"/>
    <col min="6" max="6" width="14.33203125" customWidth="1"/>
    <col min="9" max="9" width="13.44140625" bestFit="1" customWidth="1"/>
    <col min="10" max="10" width="11.109375" bestFit="1" customWidth="1"/>
    <col min="11" max="11" width="12.6640625" bestFit="1" customWidth="1"/>
    <col min="12" max="12" width="12.6640625" customWidth="1"/>
    <col min="13" max="13" width="8.77734375" customWidth="1"/>
    <col min="26" max="26" width="13.44140625" bestFit="1" customWidth="1"/>
    <col min="27" max="27" width="10.5546875" bestFit="1" customWidth="1"/>
    <col min="28" max="28" width="11" bestFit="1" customWidth="1"/>
    <col min="29" max="29" width="13.33203125" bestFit="1" customWidth="1"/>
  </cols>
  <sheetData>
    <row r="1" spans="1:14" ht="18" x14ac:dyDescent="0.35">
      <c r="A1" s="74" t="s">
        <v>178</v>
      </c>
      <c r="I1" s="74" t="s">
        <v>179</v>
      </c>
      <c r="J1" s="75"/>
      <c r="K1" s="75"/>
      <c r="L1" s="75"/>
      <c r="M1" s="75"/>
      <c r="N1" s="74" t="s">
        <v>181</v>
      </c>
    </row>
    <row r="2" spans="1:14" x14ac:dyDescent="0.3">
      <c r="A2" t="s">
        <v>189</v>
      </c>
    </row>
    <row r="3" spans="1:14" x14ac:dyDescent="0.3">
      <c r="A3" t="s">
        <v>61</v>
      </c>
      <c r="B3" t="s">
        <v>83</v>
      </c>
      <c r="C3" t="s">
        <v>84</v>
      </c>
      <c r="D3" t="s">
        <v>85</v>
      </c>
      <c r="E3" t="s">
        <v>86</v>
      </c>
      <c r="F3" t="s">
        <v>62</v>
      </c>
    </row>
    <row r="4" spans="1:14" x14ac:dyDescent="0.3">
      <c r="A4">
        <v>196</v>
      </c>
      <c r="B4">
        <v>4195</v>
      </c>
      <c r="C4">
        <v>4175</v>
      </c>
      <c r="D4">
        <v>99.52</v>
      </c>
      <c r="E4">
        <v>9.9499999999999993</v>
      </c>
      <c r="F4">
        <v>1</v>
      </c>
    </row>
    <row r="5" spans="1:14" x14ac:dyDescent="0.3">
      <c r="A5">
        <v>1294</v>
      </c>
      <c r="B5">
        <v>4406</v>
      </c>
      <c r="C5">
        <v>3566</v>
      </c>
      <c r="D5">
        <v>80.94</v>
      </c>
      <c r="E5">
        <v>8.5</v>
      </c>
      <c r="F5">
        <v>2</v>
      </c>
      <c r="I5" s="1" t="s">
        <v>109</v>
      </c>
      <c r="J5" t="s">
        <v>149</v>
      </c>
      <c r="K5" t="s">
        <v>151</v>
      </c>
    </row>
    <row r="6" spans="1:14" x14ac:dyDescent="0.3">
      <c r="A6">
        <v>1696</v>
      </c>
      <c r="B6">
        <v>3477</v>
      </c>
      <c r="C6">
        <v>2673</v>
      </c>
      <c r="D6">
        <v>76.88</v>
      </c>
      <c r="E6">
        <v>6.37</v>
      </c>
      <c r="F6">
        <v>3</v>
      </c>
      <c r="I6" s="2">
        <v>1</v>
      </c>
    </row>
    <row r="7" spans="1:14" x14ac:dyDescent="0.3">
      <c r="A7">
        <v>24</v>
      </c>
      <c r="B7">
        <v>2827</v>
      </c>
      <c r="C7">
        <v>2351</v>
      </c>
      <c r="D7">
        <v>83.16</v>
      </c>
      <c r="E7">
        <v>5.6</v>
      </c>
      <c r="F7">
        <v>4</v>
      </c>
      <c r="I7" s="20">
        <v>196</v>
      </c>
      <c r="J7">
        <v>4175</v>
      </c>
      <c r="K7">
        <v>9.9499999999999993</v>
      </c>
    </row>
    <row r="8" spans="1:14" x14ac:dyDescent="0.3">
      <c r="A8">
        <v>789</v>
      </c>
      <c r="B8">
        <v>2000</v>
      </c>
      <c r="C8">
        <v>1999</v>
      </c>
      <c r="D8">
        <v>99.95</v>
      </c>
      <c r="E8">
        <v>4.7699999999999996</v>
      </c>
      <c r="F8">
        <v>5</v>
      </c>
      <c r="I8" s="2">
        <v>2</v>
      </c>
    </row>
    <row r="9" spans="1:14" x14ac:dyDescent="0.3">
      <c r="A9">
        <v>531</v>
      </c>
      <c r="B9">
        <v>1633</v>
      </c>
      <c r="C9">
        <v>1633</v>
      </c>
      <c r="D9">
        <v>100</v>
      </c>
      <c r="E9">
        <v>3.89</v>
      </c>
      <c r="F9">
        <v>6</v>
      </c>
      <c r="I9" s="20">
        <v>1294</v>
      </c>
      <c r="J9">
        <v>3566</v>
      </c>
      <c r="K9">
        <v>8.5</v>
      </c>
    </row>
    <row r="10" spans="1:14" x14ac:dyDescent="0.3">
      <c r="A10">
        <v>739</v>
      </c>
      <c r="B10">
        <v>1782</v>
      </c>
      <c r="C10">
        <v>1065</v>
      </c>
      <c r="D10">
        <v>59.76</v>
      </c>
      <c r="E10">
        <v>2.54</v>
      </c>
      <c r="F10">
        <v>7</v>
      </c>
      <c r="I10" s="2">
        <v>3</v>
      </c>
    </row>
    <row r="11" spans="1:14" x14ac:dyDescent="0.3">
      <c r="A11">
        <v>4</v>
      </c>
      <c r="B11">
        <v>962</v>
      </c>
      <c r="C11">
        <v>907</v>
      </c>
      <c r="D11">
        <v>94.28</v>
      </c>
      <c r="E11">
        <v>2.16</v>
      </c>
      <c r="F11">
        <v>8</v>
      </c>
      <c r="I11" s="20">
        <v>1696</v>
      </c>
      <c r="J11">
        <v>2673</v>
      </c>
      <c r="K11">
        <v>6.37</v>
      </c>
    </row>
    <row r="12" spans="1:14" x14ac:dyDescent="0.3">
      <c r="A12">
        <v>1468</v>
      </c>
      <c r="B12">
        <v>1116</v>
      </c>
      <c r="C12">
        <v>601</v>
      </c>
      <c r="D12">
        <v>53.85</v>
      </c>
      <c r="E12">
        <v>1.43</v>
      </c>
      <c r="F12">
        <v>9</v>
      </c>
      <c r="I12" s="2">
        <v>4</v>
      </c>
    </row>
    <row r="13" spans="1:14" x14ac:dyDescent="0.3">
      <c r="A13">
        <v>995</v>
      </c>
      <c r="B13">
        <v>1299</v>
      </c>
      <c r="C13">
        <v>507</v>
      </c>
      <c r="D13">
        <v>39.03</v>
      </c>
      <c r="E13">
        <v>1.21</v>
      </c>
      <c r="F13">
        <v>10</v>
      </c>
      <c r="I13" s="20">
        <v>24</v>
      </c>
      <c r="J13">
        <v>2351</v>
      </c>
      <c r="K13">
        <v>5.6</v>
      </c>
    </row>
    <row r="14" spans="1:14" x14ac:dyDescent="0.3">
      <c r="A14">
        <v>1501</v>
      </c>
      <c r="B14">
        <v>637</v>
      </c>
      <c r="C14">
        <v>461</v>
      </c>
      <c r="D14">
        <v>72.37</v>
      </c>
      <c r="E14">
        <v>1.1000000000000001</v>
      </c>
      <c r="F14">
        <v>11</v>
      </c>
      <c r="I14" s="2">
        <v>5</v>
      </c>
    </row>
    <row r="15" spans="1:14" x14ac:dyDescent="0.3">
      <c r="A15">
        <v>1236</v>
      </c>
      <c r="B15">
        <v>1892</v>
      </c>
      <c r="C15">
        <v>456</v>
      </c>
      <c r="D15">
        <v>24.1</v>
      </c>
      <c r="E15">
        <v>1.0900000000000001</v>
      </c>
      <c r="F15">
        <v>12</v>
      </c>
      <c r="I15" s="20">
        <v>789</v>
      </c>
      <c r="J15">
        <v>1999</v>
      </c>
      <c r="K15">
        <v>4.7699999999999996</v>
      </c>
    </row>
    <row r="16" spans="1:14" x14ac:dyDescent="0.3">
      <c r="A16">
        <v>968</v>
      </c>
      <c r="B16">
        <v>439</v>
      </c>
      <c r="C16">
        <v>437</v>
      </c>
      <c r="D16">
        <v>99.54</v>
      </c>
      <c r="E16">
        <v>1.04</v>
      </c>
      <c r="F16">
        <v>13</v>
      </c>
      <c r="I16" s="2">
        <v>6</v>
      </c>
    </row>
    <row r="17" spans="1:11" x14ac:dyDescent="0.3">
      <c r="A17">
        <v>166</v>
      </c>
      <c r="B17">
        <v>436</v>
      </c>
      <c r="C17">
        <v>419</v>
      </c>
      <c r="D17">
        <v>96.1</v>
      </c>
      <c r="E17">
        <v>1</v>
      </c>
      <c r="F17">
        <v>14</v>
      </c>
      <c r="I17" s="20">
        <v>531</v>
      </c>
      <c r="J17">
        <v>1633</v>
      </c>
      <c r="K17">
        <v>3.89</v>
      </c>
    </row>
    <row r="18" spans="1:11" x14ac:dyDescent="0.3">
      <c r="A18">
        <v>921</v>
      </c>
      <c r="B18">
        <v>482</v>
      </c>
      <c r="C18">
        <v>421</v>
      </c>
      <c r="D18">
        <v>87.34</v>
      </c>
      <c r="E18">
        <v>1</v>
      </c>
      <c r="F18">
        <v>15</v>
      </c>
      <c r="I18" s="2">
        <v>7</v>
      </c>
    </row>
    <row r="19" spans="1:11" x14ac:dyDescent="0.3">
      <c r="A19">
        <v>1727</v>
      </c>
      <c r="B19">
        <v>422</v>
      </c>
      <c r="C19">
        <v>401</v>
      </c>
      <c r="D19">
        <v>95.02</v>
      </c>
      <c r="E19">
        <v>0.96</v>
      </c>
      <c r="F19">
        <v>16</v>
      </c>
      <c r="I19" s="20">
        <v>739</v>
      </c>
      <c r="J19">
        <v>1065</v>
      </c>
      <c r="K19">
        <v>2.54</v>
      </c>
    </row>
    <row r="20" spans="1:11" x14ac:dyDescent="0.3">
      <c r="A20">
        <v>1217</v>
      </c>
      <c r="B20">
        <v>409</v>
      </c>
      <c r="C20">
        <v>368</v>
      </c>
      <c r="D20">
        <v>89.98</v>
      </c>
      <c r="E20">
        <v>0.88</v>
      </c>
      <c r="F20">
        <v>17</v>
      </c>
      <c r="I20" s="2">
        <v>8</v>
      </c>
    </row>
    <row r="21" spans="1:11" x14ac:dyDescent="0.3">
      <c r="A21">
        <v>1074</v>
      </c>
      <c r="B21">
        <v>364</v>
      </c>
      <c r="C21">
        <v>361</v>
      </c>
      <c r="D21">
        <v>99.18</v>
      </c>
      <c r="E21">
        <v>0.86</v>
      </c>
      <c r="F21">
        <v>18</v>
      </c>
      <c r="I21" s="20">
        <v>4</v>
      </c>
      <c r="J21">
        <v>907</v>
      </c>
      <c r="K21">
        <v>2.16</v>
      </c>
    </row>
    <row r="22" spans="1:11" x14ac:dyDescent="0.3">
      <c r="A22">
        <v>1788</v>
      </c>
      <c r="B22">
        <v>388</v>
      </c>
      <c r="C22">
        <v>357</v>
      </c>
      <c r="D22">
        <v>92.01</v>
      </c>
      <c r="E22">
        <v>0.85</v>
      </c>
      <c r="F22">
        <v>19</v>
      </c>
      <c r="I22" s="2">
        <v>9</v>
      </c>
    </row>
    <row r="23" spans="1:11" x14ac:dyDescent="0.3">
      <c r="A23">
        <v>119</v>
      </c>
      <c r="B23">
        <v>528</v>
      </c>
      <c r="C23">
        <v>352</v>
      </c>
      <c r="D23">
        <v>66.67</v>
      </c>
      <c r="E23">
        <v>0.84</v>
      </c>
      <c r="F23">
        <v>20</v>
      </c>
      <c r="I23" s="20">
        <v>1468</v>
      </c>
      <c r="J23">
        <v>601</v>
      </c>
      <c r="K23">
        <v>1.43</v>
      </c>
    </row>
    <row r="24" spans="1:11" x14ac:dyDescent="0.3">
      <c r="A24">
        <v>225</v>
      </c>
      <c r="B24">
        <v>338</v>
      </c>
      <c r="C24">
        <v>338</v>
      </c>
      <c r="D24">
        <v>100</v>
      </c>
      <c r="E24">
        <v>0.81</v>
      </c>
      <c r="F24">
        <v>21</v>
      </c>
      <c r="I24" s="2">
        <v>10</v>
      </c>
    </row>
    <row r="25" spans="1:11" x14ac:dyDescent="0.3">
      <c r="A25">
        <v>1205</v>
      </c>
      <c r="B25">
        <v>466</v>
      </c>
      <c r="C25">
        <v>340</v>
      </c>
      <c r="D25">
        <v>72.959999999999994</v>
      </c>
      <c r="E25">
        <v>0.81</v>
      </c>
      <c r="F25">
        <v>22</v>
      </c>
      <c r="I25" s="20">
        <v>995</v>
      </c>
      <c r="J25">
        <v>507</v>
      </c>
      <c r="K25">
        <v>1.21</v>
      </c>
    </row>
    <row r="26" spans="1:11" x14ac:dyDescent="0.3">
      <c r="A26">
        <v>1005</v>
      </c>
      <c r="B26">
        <v>342</v>
      </c>
      <c r="C26">
        <v>334</v>
      </c>
      <c r="D26">
        <v>97.66</v>
      </c>
      <c r="E26">
        <v>0.8</v>
      </c>
      <c r="F26">
        <v>23</v>
      </c>
      <c r="I26" s="2">
        <v>11</v>
      </c>
    </row>
    <row r="27" spans="1:11" x14ac:dyDescent="0.3">
      <c r="A27">
        <v>1227</v>
      </c>
      <c r="B27">
        <v>345</v>
      </c>
      <c r="C27">
        <v>322</v>
      </c>
      <c r="D27">
        <v>93.33</v>
      </c>
      <c r="E27">
        <v>0.77</v>
      </c>
      <c r="F27">
        <v>24</v>
      </c>
      <c r="I27" s="20">
        <v>1501</v>
      </c>
      <c r="J27">
        <v>461</v>
      </c>
      <c r="K27">
        <v>1.1000000000000001</v>
      </c>
    </row>
    <row r="28" spans="1:11" x14ac:dyDescent="0.3">
      <c r="A28">
        <v>1147</v>
      </c>
      <c r="B28">
        <v>299</v>
      </c>
      <c r="C28">
        <v>299</v>
      </c>
      <c r="D28">
        <v>100</v>
      </c>
      <c r="E28">
        <v>0.71</v>
      </c>
      <c r="F28">
        <v>25</v>
      </c>
      <c r="I28" s="2">
        <v>12</v>
      </c>
    </row>
    <row r="29" spans="1:11" x14ac:dyDescent="0.3">
      <c r="A29">
        <v>1235</v>
      </c>
      <c r="B29">
        <v>341</v>
      </c>
      <c r="C29">
        <v>286</v>
      </c>
      <c r="D29">
        <v>83.87</v>
      </c>
      <c r="E29">
        <v>0.68</v>
      </c>
      <c r="F29">
        <v>26</v>
      </c>
      <c r="I29" s="20">
        <v>1236</v>
      </c>
      <c r="J29">
        <v>456</v>
      </c>
      <c r="K29">
        <v>1.0900000000000001</v>
      </c>
    </row>
    <row r="30" spans="1:11" x14ac:dyDescent="0.3">
      <c r="A30">
        <v>922</v>
      </c>
      <c r="B30">
        <v>552</v>
      </c>
      <c r="C30">
        <v>286</v>
      </c>
      <c r="D30">
        <v>51.81</v>
      </c>
      <c r="E30">
        <v>0.68</v>
      </c>
      <c r="F30">
        <v>27</v>
      </c>
      <c r="I30" s="2">
        <v>13</v>
      </c>
    </row>
    <row r="31" spans="1:11" x14ac:dyDescent="0.3">
      <c r="A31">
        <v>1564</v>
      </c>
      <c r="B31">
        <v>584</v>
      </c>
      <c r="C31">
        <v>282</v>
      </c>
      <c r="D31">
        <v>48.29</v>
      </c>
      <c r="E31">
        <v>0.67</v>
      </c>
      <c r="F31">
        <v>28</v>
      </c>
      <c r="I31" s="20">
        <v>968</v>
      </c>
      <c r="J31">
        <v>437</v>
      </c>
      <c r="K31">
        <v>1.04</v>
      </c>
    </row>
    <row r="32" spans="1:11" x14ac:dyDescent="0.3">
      <c r="A32">
        <v>1466</v>
      </c>
      <c r="B32">
        <v>713</v>
      </c>
      <c r="C32">
        <v>255</v>
      </c>
      <c r="D32">
        <v>35.76</v>
      </c>
      <c r="E32">
        <v>0.61</v>
      </c>
      <c r="F32">
        <v>29</v>
      </c>
      <c r="I32" s="2">
        <v>14</v>
      </c>
    </row>
    <row r="33" spans="1:12" x14ac:dyDescent="0.3">
      <c r="A33">
        <v>1141</v>
      </c>
      <c r="B33">
        <v>291</v>
      </c>
      <c r="C33">
        <v>250</v>
      </c>
      <c r="D33">
        <v>85.91</v>
      </c>
      <c r="E33">
        <v>0.6</v>
      </c>
      <c r="F33">
        <v>30</v>
      </c>
      <c r="I33" s="20">
        <v>166</v>
      </c>
      <c r="J33">
        <v>419</v>
      </c>
      <c r="K33">
        <v>1</v>
      </c>
    </row>
    <row r="34" spans="1:12" x14ac:dyDescent="0.3">
      <c r="A34">
        <v>281</v>
      </c>
      <c r="B34">
        <v>245</v>
      </c>
      <c r="C34">
        <v>245</v>
      </c>
      <c r="D34">
        <v>100</v>
      </c>
      <c r="E34">
        <v>0.57999999999999996</v>
      </c>
      <c r="F34">
        <v>31</v>
      </c>
      <c r="I34" s="2">
        <v>15</v>
      </c>
    </row>
    <row r="35" spans="1:12" x14ac:dyDescent="0.3">
      <c r="A35">
        <v>1038</v>
      </c>
      <c r="B35">
        <v>264</v>
      </c>
      <c r="C35">
        <v>243</v>
      </c>
      <c r="D35">
        <v>92.05</v>
      </c>
      <c r="E35">
        <v>0.57999999999999996</v>
      </c>
      <c r="F35">
        <v>32</v>
      </c>
      <c r="I35" s="20">
        <v>921</v>
      </c>
      <c r="J35">
        <v>421</v>
      </c>
      <c r="K35">
        <v>1</v>
      </c>
    </row>
    <row r="36" spans="1:12" x14ac:dyDescent="0.3">
      <c r="A36">
        <v>936</v>
      </c>
      <c r="B36">
        <v>225</v>
      </c>
      <c r="C36">
        <v>224</v>
      </c>
      <c r="D36">
        <v>99.56</v>
      </c>
      <c r="E36">
        <v>0.53</v>
      </c>
      <c r="F36">
        <v>33</v>
      </c>
      <c r="I36" s="2" t="s">
        <v>141</v>
      </c>
      <c r="J36">
        <v>21671</v>
      </c>
      <c r="K36">
        <v>51.650000000000006</v>
      </c>
    </row>
    <row r="37" spans="1:12" x14ac:dyDescent="0.3">
      <c r="A37">
        <v>91</v>
      </c>
      <c r="B37">
        <v>226</v>
      </c>
      <c r="C37">
        <v>214</v>
      </c>
      <c r="D37">
        <v>94.69</v>
      </c>
      <c r="E37">
        <v>0.51</v>
      </c>
      <c r="F37">
        <v>34</v>
      </c>
    </row>
    <row r="38" spans="1:12" x14ac:dyDescent="0.3">
      <c r="A38">
        <v>69</v>
      </c>
      <c r="B38">
        <v>228</v>
      </c>
      <c r="C38">
        <v>201</v>
      </c>
      <c r="D38">
        <v>88.16</v>
      </c>
      <c r="E38">
        <v>0.48</v>
      </c>
      <c r="F38">
        <v>35</v>
      </c>
    </row>
    <row r="39" spans="1:12" x14ac:dyDescent="0.3">
      <c r="A39">
        <v>484</v>
      </c>
      <c r="B39">
        <v>483</v>
      </c>
      <c r="C39">
        <v>202</v>
      </c>
      <c r="D39">
        <v>41.82</v>
      </c>
      <c r="E39">
        <v>0.48</v>
      </c>
      <c r="F39">
        <v>36</v>
      </c>
    </row>
    <row r="40" spans="1:12" x14ac:dyDescent="0.3">
      <c r="A40">
        <v>1180</v>
      </c>
      <c r="B40">
        <v>278</v>
      </c>
      <c r="C40">
        <v>195</v>
      </c>
      <c r="D40">
        <v>70.14</v>
      </c>
      <c r="E40">
        <v>0.46</v>
      </c>
      <c r="F40">
        <v>37</v>
      </c>
      <c r="I40" s="1" t="s">
        <v>109</v>
      </c>
      <c r="J40" t="s">
        <v>161</v>
      </c>
      <c r="K40" t="s">
        <v>163</v>
      </c>
      <c r="L40" t="s">
        <v>162</v>
      </c>
    </row>
    <row r="41" spans="1:12" x14ac:dyDescent="0.3">
      <c r="A41">
        <v>1267</v>
      </c>
      <c r="B41">
        <v>186</v>
      </c>
      <c r="C41">
        <v>186</v>
      </c>
      <c r="D41">
        <v>100</v>
      </c>
      <c r="E41">
        <v>0.44</v>
      </c>
      <c r="F41">
        <v>38</v>
      </c>
      <c r="I41" s="2">
        <v>1</v>
      </c>
    </row>
    <row r="42" spans="1:12" x14ac:dyDescent="0.3">
      <c r="A42">
        <v>435</v>
      </c>
      <c r="B42">
        <v>183</v>
      </c>
      <c r="C42">
        <v>181</v>
      </c>
      <c r="D42">
        <v>98.91</v>
      </c>
      <c r="E42">
        <v>0.43</v>
      </c>
      <c r="F42">
        <v>39</v>
      </c>
      <c r="I42" s="20">
        <v>196</v>
      </c>
      <c r="J42">
        <v>4195</v>
      </c>
      <c r="K42">
        <v>4175</v>
      </c>
      <c r="L42">
        <v>99.52</v>
      </c>
    </row>
    <row r="43" spans="1:12" x14ac:dyDescent="0.3">
      <c r="A43">
        <v>1648</v>
      </c>
      <c r="B43">
        <v>1844</v>
      </c>
      <c r="C43">
        <v>179</v>
      </c>
      <c r="D43">
        <v>9.7100000000000009</v>
      </c>
      <c r="E43">
        <v>0.43</v>
      </c>
      <c r="F43">
        <v>40</v>
      </c>
      <c r="I43" s="2">
        <v>2</v>
      </c>
    </row>
    <row r="44" spans="1:12" x14ac:dyDescent="0.3">
      <c r="A44">
        <v>1607</v>
      </c>
      <c r="B44">
        <v>410</v>
      </c>
      <c r="C44">
        <v>170</v>
      </c>
      <c r="D44">
        <v>41.46</v>
      </c>
      <c r="E44">
        <v>0.41</v>
      </c>
      <c r="F44">
        <v>41</v>
      </c>
      <c r="I44" s="20">
        <v>1294</v>
      </c>
      <c r="J44">
        <v>4406</v>
      </c>
      <c r="K44">
        <v>3566</v>
      </c>
      <c r="L44">
        <v>80.94</v>
      </c>
    </row>
    <row r="45" spans="1:12" x14ac:dyDescent="0.3">
      <c r="A45">
        <v>87</v>
      </c>
      <c r="B45">
        <v>172</v>
      </c>
      <c r="C45">
        <v>164</v>
      </c>
      <c r="D45">
        <v>95.35</v>
      </c>
      <c r="E45">
        <v>0.39</v>
      </c>
      <c r="F45">
        <v>42</v>
      </c>
      <c r="I45" s="2">
        <v>3</v>
      </c>
    </row>
    <row r="46" spans="1:12" x14ac:dyDescent="0.3">
      <c r="A46">
        <v>1292</v>
      </c>
      <c r="B46">
        <v>170</v>
      </c>
      <c r="C46">
        <v>159</v>
      </c>
      <c r="D46">
        <v>93.53</v>
      </c>
      <c r="E46">
        <v>0.38</v>
      </c>
      <c r="F46">
        <v>43</v>
      </c>
      <c r="I46" s="20">
        <v>1696</v>
      </c>
      <c r="J46">
        <v>3477</v>
      </c>
      <c r="K46">
        <v>2673</v>
      </c>
      <c r="L46">
        <v>76.88</v>
      </c>
    </row>
    <row r="47" spans="1:12" x14ac:dyDescent="0.3">
      <c r="A47">
        <v>1400</v>
      </c>
      <c r="B47">
        <v>164</v>
      </c>
      <c r="C47">
        <v>152</v>
      </c>
      <c r="D47">
        <v>92.68</v>
      </c>
      <c r="E47">
        <v>0.36</v>
      </c>
      <c r="F47">
        <v>44</v>
      </c>
      <c r="I47" s="2">
        <v>4</v>
      </c>
    </row>
    <row r="48" spans="1:12" x14ac:dyDescent="0.3">
      <c r="A48">
        <v>1781</v>
      </c>
      <c r="B48">
        <v>144</v>
      </c>
      <c r="C48">
        <v>144</v>
      </c>
      <c r="D48">
        <v>100</v>
      </c>
      <c r="E48">
        <v>0.34</v>
      </c>
      <c r="F48">
        <v>45</v>
      </c>
      <c r="I48" s="20">
        <v>24</v>
      </c>
      <c r="J48">
        <v>2827</v>
      </c>
      <c r="K48">
        <v>2351</v>
      </c>
      <c r="L48">
        <v>83.16</v>
      </c>
    </row>
    <row r="49" spans="1:12" x14ac:dyDescent="0.3">
      <c r="A49">
        <v>165</v>
      </c>
      <c r="B49">
        <v>341</v>
      </c>
      <c r="C49">
        <v>141</v>
      </c>
      <c r="D49">
        <v>41.35</v>
      </c>
      <c r="E49">
        <v>0.34</v>
      </c>
      <c r="F49">
        <v>46</v>
      </c>
      <c r="I49" s="2">
        <v>5</v>
      </c>
    </row>
    <row r="50" spans="1:12" x14ac:dyDescent="0.3">
      <c r="A50">
        <v>322</v>
      </c>
      <c r="B50">
        <v>137</v>
      </c>
      <c r="C50">
        <v>137</v>
      </c>
      <c r="D50">
        <v>100</v>
      </c>
      <c r="E50">
        <v>0.33</v>
      </c>
      <c r="F50">
        <v>47</v>
      </c>
      <c r="I50" s="20">
        <v>789</v>
      </c>
      <c r="J50">
        <v>2000</v>
      </c>
      <c r="K50">
        <v>1999</v>
      </c>
      <c r="L50">
        <v>99.95</v>
      </c>
    </row>
    <row r="51" spans="1:12" x14ac:dyDescent="0.3">
      <c r="A51">
        <v>1857</v>
      </c>
      <c r="B51">
        <v>154</v>
      </c>
      <c r="C51">
        <v>140</v>
      </c>
      <c r="D51">
        <v>90.91</v>
      </c>
      <c r="E51">
        <v>0.33</v>
      </c>
      <c r="F51">
        <v>48</v>
      </c>
      <c r="I51" s="2">
        <v>6</v>
      </c>
    </row>
    <row r="52" spans="1:12" x14ac:dyDescent="0.3">
      <c r="A52">
        <v>256</v>
      </c>
      <c r="B52">
        <v>171</v>
      </c>
      <c r="C52">
        <v>135</v>
      </c>
      <c r="D52">
        <v>78.95</v>
      </c>
      <c r="E52">
        <v>0.32</v>
      </c>
      <c r="F52">
        <v>49</v>
      </c>
      <c r="I52" s="20">
        <v>531</v>
      </c>
      <c r="J52">
        <v>1633</v>
      </c>
      <c r="K52">
        <v>1633</v>
      </c>
      <c r="L52">
        <v>100</v>
      </c>
    </row>
    <row r="53" spans="1:12" x14ac:dyDescent="0.3">
      <c r="A53">
        <v>1518</v>
      </c>
      <c r="B53">
        <v>217</v>
      </c>
      <c r="C53">
        <v>133</v>
      </c>
      <c r="D53">
        <v>61.29</v>
      </c>
      <c r="E53">
        <v>0.32</v>
      </c>
      <c r="F53">
        <v>50</v>
      </c>
      <c r="I53" s="2">
        <v>7</v>
      </c>
    </row>
    <row r="54" spans="1:12" x14ac:dyDescent="0.3">
      <c r="A54">
        <v>1228</v>
      </c>
      <c r="B54">
        <v>124</v>
      </c>
      <c r="C54">
        <v>124</v>
      </c>
      <c r="D54">
        <v>100</v>
      </c>
      <c r="E54">
        <v>0.3</v>
      </c>
      <c r="F54">
        <v>51</v>
      </c>
      <c r="I54" s="20">
        <v>739</v>
      </c>
      <c r="J54">
        <v>1782</v>
      </c>
      <c r="K54">
        <v>1065</v>
      </c>
      <c r="L54">
        <v>59.76</v>
      </c>
    </row>
    <row r="55" spans="1:12" x14ac:dyDescent="0.3">
      <c r="A55">
        <v>1467</v>
      </c>
      <c r="B55">
        <v>201</v>
      </c>
      <c r="C55">
        <v>126</v>
      </c>
      <c r="D55">
        <v>62.69</v>
      </c>
      <c r="E55">
        <v>0.3</v>
      </c>
      <c r="F55">
        <v>52</v>
      </c>
      <c r="I55" s="2">
        <v>8</v>
      </c>
    </row>
    <row r="56" spans="1:12" x14ac:dyDescent="0.3">
      <c r="A56">
        <v>1882</v>
      </c>
      <c r="B56">
        <v>132</v>
      </c>
      <c r="C56">
        <v>121</v>
      </c>
      <c r="D56">
        <v>91.67</v>
      </c>
      <c r="E56">
        <v>0.28999999999999998</v>
      </c>
      <c r="F56">
        <v>53</v>
      </c>
      <c r="I56" s="20">
        <v>4</v>
      </c>
      <c r="J56">
        <v>962</v>
      </c>
      <c r="K56">
        <v>907</v>
      </c>
      <c r="L56">
        <v>94.28</v>
      </c>
    </row>
    <row r="57" spans="1:12" x14ac:dyDescent="0.3">
      <c r="A57">
        <v>841</v>
      </c>
      <c r="B57">
        <v>143</v>
      </c>
      <c r="C57">
        <v>120</v>
      </c>
      <c r="D57">
        <v>83.92</v>
      </c>
      <c r="E57">
        <v>0.28999999999999998</v>
      </c>
      <c r="F57">
        <v>54</v>
      </c>
      <c r="I57" s="2">
        <v>9</v>
      </c>
    </row>
    <row r="58" spans="1:12" x14ac:dyDescent="0.3">
      <c r="A58">
        <v>147</v>
      </c>
      <c r="B58">
        <v>592</v>
      </c>
      <c r="C58">
        <v>121</v>
      </c>
      <c r="D58">
        <v>20.440000000000001</v>
      </c>
      <c r="E58">
        <v>0.28999999999999998</v>
      </c>
      <c r="F58">
        <v>55</v>
      </c>
      <c r="I58" s="20">
        <v>1468</v>
      </c>
      <c r="J58">
        <v>1116</v>
      </c>
      <c r="K58">
        <v>601</v>
      </c>
      <c r="L58">
        <v>53.85</v>
      </c>
    </row>
    <row r="59" spans="1:12" x14ac:dyDescent="0.3">
      <c r="A59">
        <v>1089</v>
      </c>
      <c r="B59">
        <v>122</v>
      </c>
      <c r="C59">
        <v>119</v>
      </c>
      <c r="D59">
        <v>97.54</v>
      </c>
      <c r="E59">
        <v>0.28000000000000003</v>
      </c>
      <c r="F59">
        <v>56</v>
      </c>
      <c r="I59" s="2">
        <v>10</v>
      </c>
    </row>
    <row r="60" spans="1:12" x14ac:dyDescent="0.3">
      <c r="A60">
        <v>709</v>
      </c>
      <c r="B60">
        <v>138</v>
      </c>
      <c r="C60">
        <v>115</v>
      </c>
      <c r="D60">
        <v>83.33</v>
      </c>
      <c r="E60">
        <v>0.27</v>
      </c>
      <c r="F60">
        <v>57</v>
      </c>
      <c r="I60" s="20">
        <v>995</v>
      </c>
      <c r="J60">
        <v>1299</v>
      </c>
      <c r="K60">
        <v>507</v>
      </c>
      <c r="L60">
        <v>39.03</v>
      </c>
    </row>
    <row r="61" spans="1:12" x14ac:dyDescent="0.3">
      <c r="A61">
        <v>1674</v>
      </c>
      <c r="B61">
        <v>149</v>
      </c>
      <c r="C61">
        <v>114</v>
      </c>
      <c r="D61">
        <v>76.510000000000005</v>
      </c>
      <c r="E61">
        <v>0.27</v>
      </c>
      <c r="F61">
        <v>58</v>
      </c>
      <c r="I61" s="2">
        <v>11</v>
      </c>
    </row>
    <row r="62" spans="1:12" x14ac:dyDescent="0.3">
      <c r="A62">
        <v>1491</v>
      </c>
      <c r="B62">
        <v>114</v>
      </c>
      <c r="C62">
        <v>109</v>
      </c>
      <c r="D62">
        <v>95.61</v>
      </c>
      <c r="E62">
        <v>0.26</v>
      </c>
      <c r="F62">
        <v>59</v>
      </c>
      <c r="I62" s="20">
        <v>1501</v>
      </c>
      <c r="J62">
        <v>637</v>
      </c>
      <c r="K62">
        <v>461</v>
      </c>
      <c r="L62">
        <v>72.37</v>
      </c>
    </row>
    <row r="63" spans="1:12" x14ac:dyDescent="0.3">
      <c r="A63">
        <v>685</v>
      </c>
      <c r="B63">
        <v>189</v>
      </c>
      <c r="C63">
        <v>110</v>
      </c>
      <c r="D63">
        <v>58.2</v>
      </c>
      <c r="E63">
        <v>0.26</v>
      </c>
      <c r="F63">
        <v>60</v>
      </c>
      <c r="I63" s="2">
        <v>12</v>
      </c>
    </row>
    <row r="64" spans="1:12" x14ac:dyDescent="0.3">
      <c r="A64">
        <v>415</v>
      </c>
      <c r="B64">
        <v>269</v>
      </c>
      <c r="C64">
        <v>108</v>
      </c>
      <c r="D64">
        <v>40.15</v>
      </c>
      <c r="E64">
        <v>0.26</v>
      </c>
      <c r="F64">
        <v>61</v>
      </c>
      <c r="I64" s="20">
        <v>1236</v>
      </c>
      <c r="J64">
        <v>1892</v>
      </c>
      <c r="K64">
        <v>456</v>
      </c>
      <c r="L64">
        <v>24.1</v>
      </c>
    </row>
    <row r="65" spans="1:12" x14ac:dyDescent="0.3">
      <c r="A65">
        <v>1895</v>
      </c>
      <c r="B65">
        <v>118</v>
      </c>
      <c r="C65">
        <v>103</v>
      </c>
      <c r="D65">
        <v>87.29</v>
      </c>
      <c r="E65">
        <v>0.25</v>
      </c>
      <c r="F65">
        <v>62</v>
      </c>
      <c r="I65" s="2">
        <v>13</v>
      </c>
    </row>
    <row r="66" spans="1:12" x14ac:dyDescent="0.3">
      <c r="A66">
        <v>1632</v>
      </c>
      <c r="B66">
        <v>101</v>
      </c>
      <c r="C66">
        <v>101</v>
      </c>
      <c r="D66">
        <v>100</v>
      </c>
      <c r="E66">
        <v>0.24</v>
      </c>
      <c r="F66">
        <v>63</v>
      </c>
      <c r="I66" s="20">
        <v>968</v>
      </c>
      <c r="J66">
        <v>439</v>
      </c>
      <c r="K66">
        <v>437</v>
      </c>
      <c r="L66">
        <v>99.54</v>
      </c>
    </row>
    <row r="67" spans="1:12" x14ac:dyDescent="0.3">
      <c r="A67">
        <v>429</v>
      </c>
      <c r="B67">
        <v>114</v>
      </c>
      <c r="C67">
        <v>102</v>
      </c>
      <c r="D67">
        <v>89.47</v>
      </c>
      <c r="E67">
        <v>0.24</v>
      </c>
      <c r="F67">
        <v>64</v>
      </c>
      <c r="I67" s="2">
        <v>14</v>
      </c>
    </row>
    <row r="68" spans="1:12" x14ac:dyDescent="0.3">
      <c r="A68">
        <v>167</v>
      </c>
      <c r="B68">
        <v>135</v>
      </c>
      <c r="C68">
        <v>101</v>
      </c>
      <c r="D68">
        <v>74.81</v>
      </c>
      <c r="E68">
        <v>0.24</v>
      </c>
      <c r="F68">
        <v>65</v>
      </c>
      <c r="I68" s="20">
        <v>166</v>
      </c>
      <c r="J68">
        <v>436</v>
      </c>
      <c r="K68">
        <v>419</v>
      </c>
      <c r="L68">
        <v>96.1</v>
      </c>
    </row>
    <row r="69" spans="1:12" x14ac:dyDescent="0.3">
      <c r="A69">
        <v>93</v>
      </c>
      <c r="B69">
        <v>290</v>
      </c>
      <c r="C69">
        <v>100</v>
      </c>
      <c r="D69">
        <v>34.479999999999997</v>
      </c>
      <c r="E69">
        <v>0.24</v>
      </c>
      <c r="F69">
        <v>66</v>
      </c>
      <c r="I69" s="2">
        <v>15</v>
      </c>
    </row>
    <row r="70" spans="1:12" x14ac:dyDescent="0.3">
      <c r="A70">
        <v>574</v>
      </c>
      <c r="B70">
        <v>100</v>
      </c>
      <c r="C70">
        <v>96</v>
      </c>
      <c r="D70">
        <v>96</v>
      </c>
      <c r="E70">
        <v>0.23</v>
      </c>
      <c r="F70">
        <v>67</v>
      </c>
      <c r="I70" s="20">
        <v>921</v>
      </c>
      <c r="J70">
        <v>482</v>
      </c>
      <c r="K70">
        <v>421</v>
      </c>
      <c r="L70">
        <v>87.34</v>
      </c>
    </row>
    <row r="71" spans="1:12" x14ac:dyDescent="0.3">
      <c r="A71">
        <v>818</v>
      </c>
      <c r="B71">
        <v>108</v>
      </c>
      <c r="C71">
        <v>95</v>
      </c>
      <c r="D71">
        <v>87.96</v>
      </c>
      <c r="E71">
        <v>0.23</v>
      </c>
      <c r="F71">
        <v>68</v>
      </c>
      <c r="I71" s="2" t="s">
        <v>141</v>
      </c>
      <c r="J71">
        <v>27583</v>
      </c>
      <c r="K71">
        <v>21671</v>
      </c>
      <c r="L71">
        <v>1166.82</v>
      </c>
    </row>
    <row r="72" spans="1:12" x14ac:dyDescent="0.3">
      <c r="A72">
        <v>1192</v>
      </c>
      <c r="B72">
        <v>126</v>
      </c>
      <c r="C72">
        <v>97</v>
      </c>
      <c r="D72">
        <v>76.98</v>
      </c>
      <c r="E72">
        <v>0.23</v>
      </c>
      <c r="F72">
        <v>69</v>
      </c>
    </row>
    <row r="73" spans="1:12" x14ac:dyDescent="0.3">
      <c r="A73">
        <v>460</v>
      </c>
      <c r="B73">
        <v>106</v>
      </c>
      <c r="C73">
        <v>91</v>
      </c>
      <c r="D73">
        <v>85.85</v>
      </c>
      <c r="E73">
        <v>0.22</v>
      </c>
      <c r="F73">
        <v>70</v>
      </c>
    </row>
    <row r="74" spans="1:12" x14ac:dyDescent="0.3">
      <c r="A74">
        <v>1589</v>
      </c>
      <c r="B74">
        <v>151</v>
      </c>
      <c r="C74">
        <v>93</v>
      </c>
      <c r="D74">
        <v>61.59</v>
      </c>
      <c r="E74">
        <v>0.22</v>
      </c>
      <c r="F74">
        <v>71</v>
      </c>
    </row>
    <row r="75" spans="1:12" x14ac:dyDescent="0.3">
      <c r="A75">
        <v>267</v>
      </c>
      <c r="B75">
        <v>1015</v>
      </c>
      <c r="C75">
        <v>93</v>
      </c>
      <c r="D75">
        <v>9.16</v>
      </c>
      <c r="E75">
        <v>0.22</v>
      </c>
      <c r="F75">
        <v>72</v>
      </c>
    </row>
    <row r="76" spans="1:12" x14ac:dyDescent="0.3">
      <c r="A76">
        <v>1441</v>
      </c>
      <c r="B76">
        <v>106</v>
      </c>
      <c r="C76">
        <v>85</v>
      </c>
      <c r="D76">
        <v>80.19</v>
      </c>
      <c r="E76">
        <v>0.2</v>
      </c>
      <c r="F76">
        <v>73</v>
      </c>
    </row>
    <row r="77" spans="1:12" x14ac:dyDescent="0.3">
      <c r="A77">
        <v>750</v>
      </c>
      <c r="B77">
        <v>120</v>
      </c>
      <c r="C77">
        <v>80</v>
      </c>
      <c r="D77">
        <v>66.67</v>
      </c>
      <c r="E77">
        <v>0.19</v>
      </c>
      <c r="F77">
        <v>74</v>
      </c>
    </row>
    <row r="78" spans="1:12" x14ac:dyDescent="0.3">
      <c r="A78">
        <v>1370</v>
      </c>
      <c r="B78">
        <v>143</v>
      </c>
      <c r="C78">
        <v>81</v>
      </c>
      <c r="D78">
        <v>56.64</v>
      </c>
      <c r="E78">
        <v>0.19</v>
      </c>
      <c r="F78">
        <v>75</v>
      </c>
    </row>
    <row r="79" spans="1:12" x14ac:dyDescent="0.3">
      <c r="A79">
        <v>1595</v>
      </c>
      <c r="B79">
        <v>107</v>
      </c>
      <c r="C79">
        <v>74</v>
      </c>
      <c r="D79">
        <v>69.16</v>
      </c>
      <c r="E79">
        <v>0.18</v>
      </c>
      <c r="F79">
        <v>76</v>
      </c>
    </row>
    <row r="80" spans="1:12" x14ac:dyDescent="0.3">
      <c r="A80">
        <v>1811</v>
      </c>
      <c r="B80">
        <v>111</v>
      </c>
      <c r="C80">
        <v>76</v>
      </c>
      <c r="D80">
        <v>68.47</v>
      </c>
      <c r="E80">
        <v>0.18</v>
      </c>
      <c r="F80">
        <v>77</v>
      </c>
    </row>
    <row r="81" spans="1:6" x14ac:dyDescent="0.3">
      <c r="A81">
        <v>1962</v>
      </c>
      <c r="B81">
        <v>162</v>
      </c>
      <c r="C81">
        <v>74</v>
      </c>
      <c r="D81">
        <v>45.68</v>
      </c>
      <c r="E81">
        <v>0.18</v>
      </c>
      <c r="F81">
        <v>78</v>
      </c>
    </row>
    <row r="82" spans="1:6" x14ac:dyDescent="0.3">
      <c r="A82">
        <v>1331</v>
      </c>
      <c r="B82">
        <v>525</v>
      </c>
      <c r="C82">
        <v>73</v>
      </c>
      <c r="D82">
        <v>13.9</v>
      </c>
      <c r="E82">
        <v>0.17</v>
      </c>
      <c r="F82">
        <v>79</v>
      </c>
    </row>
    <row r="83" spans="1:6" x14ac:dyDescent="0.3">
      <c r="A83">
        <v>1779</v>
      </c>
      <c r="B83">
        <v>929</v>
      </c>
      <c r="C83">
        <v>72</v>
      </c>
      <c r="D83">
        <v>7.75</v>
      </c>
      <c r="E83">
        <v>0.17</v>
      </c>
      <c r="F83">
        <v>80</v>
      </c>
    </row>
    <row r="84" spans="1:6" x14ac:dyDescent="0.3">
      <c r="A84">
        <v>980</v>
      </c>
      <c r="B84">
        <v>335</v>
      </c>
      <c r="C84">
        <v>62</v>
      </c>
      <c r="D84">
        <v>18.510000000000002</v>
      </c>
      <c r="E84">
        <v>0.15</v>
      </c>
      <c r="F84">
        <v>81</v>
      </c>
    </row>
    <row r="85" spans="1:6" x14ac:dyDescent="0.3">
      <c r="A85">
        <v>1673</v>
      </c>
      <c r="B85">
        <v>1837</v>
      </c>
      <c r="C85">
        <v>61</v>
      </c>
      <c r="D85">
        <v>3.32</v>
      </c>
      <c r="E85">
        <v>0.15</v>
      </c>
      <c r="F85">
        <v>82</v>
      </c>
    </row>
    <row r="86" spans="1:6" x14ac:dyDescent="0.3">
      <c r="A86">
        <v>6</v>
      </c>
      <c r="B86">
        <v>139</v>
      </c>
      <c r="C86">
        <v>60</v>
      </c>
      <c r="D86">
        <v>43.17</v>
      </c>
      <c r="E86">
        <v>0.14000000000000001</v>
      </c>
      <c r="F86">
        <v>83</v>
      </c>
    </row>
    <row r="87" spans="1:6" x14ac:dyDescent="0.3">
      <c r="A87">
        <v>1396</v>
      </c>
      <c r="B87">
        <v>461</v>
      </c>
      <c r="C87">
        <v>58</v>
      </c>
      <c r="D87">
        <v>12.58</v>
      </c>
      <c r="E87">
        <v>0.14000000000000001</v>
      </c>
      <c r="F87">
        <v>84</v>
      </c>
    </row>
    <row r="88" spans="1:6" x14ac:dyDescent="0.3">
      <c r="A88">
        <v>1073</v>
      </c>
      <c r="B88">
        <v>1534</v>
      </c>
      <c r="C88">
        <v>60</v>
      </c>
      <c r="D88">
        <v>3.91</v>
      </c>
      <c r="E88">
        <v>0.14000000000000001</v>
      </c>
      <c r="F88">
        <v>85</v>
      </c>
    </row>
    <row r="89" spans="1:6" x14ac:dyDescent="0.3">
      <c r="A89">
        <v>269</v>
      </c>
      <c r="B89">
        <v>488</v>
      </c>
      <c r="C89">
        <v>55</v>
      </c>
      <c r="D89">
        <v>11.27</v>
      </c>
      <c r="E89">
        <v>0.13</v>
      </c>
      <c r="F89">
        <v>86</v>
      </c>
    </row>
    <row r="90" spans="1:6" x14ac:dyDescent="0.3">
      <c r="A90">
        <v>51</v>
      </c>
      <c r="B90">
        <v>204</v>
      </c>
      <c r="C90">
        <v>51</v>
      </c>
      <c r="D90">
        <v>25</v>
      </c>
      <c r="E90">
        <v>0.12</v>
      </c>
      <c r="F90">
        <v>87</v>
      </c>
    </row>
    <row r="91" spans="1:6" x14ac:dyDescent="0.3">
      <c r="A91">
        <v>501</v>
      </c>
      <c r="B91">
        <v>286</v>
      </c>
      <c r="C91">
        <v>50</v>
      </c>
      <c r="D91">
        <v>17.48</v>
      </c>
      <c r="E91">
        <v>0.12</v>
      </c>
      <c r="F91">
        <v>88</v>
      </c>
    </row>
    <row r="92" spans="1:6" x14ac:dyDescent="0.3">
      <c r="A92">
        <v>1533</v>
      </c>
      <c r="B92">
        <v>769</v>
      </c>
      <c r="C92">
        <v>50</v>
      </c>
      <c r="D92">
        <v>6.5</v>
      </c>
      <c r="E92">
        <v>0.12</v>
      </c>
      <c r="F92">
        <v>89</v>
      </c>
    </row>
    <row r="93" spans="1:6" x14ac:dyDescent="0.3">
      <c r="A93">
        <v>883</v>
      </c>
      <c r="B93">
        <v>220</v>
      </c>
      <c r="C93">
        <v>43</v>
      </c>
      <c r="D93">
        <v>19.55</v>
      </c>
      <c r="E93">
        <v>0.1</v>
      </c>
      <c r="F93">
        <v>90</v>
      </c>
    </row>
    <row r="94" spans="1:6" x14ac:dyDescent="0.3">
      <c r="A94">
        <v>580</v>
      </c>
      <c r="B94">
        <v>1121</v>
      </c>
      <c r="C94">
        <v>36</v>
      </c>
      <c r="D94">
        <v>3.21</v>
      </c>
      <c r="E94">
        <v>0.09</v>
      </c>
      <c r="F94">
        <v>91</v>
      </c>
    </row>
    <row r="95" spans="1:6" x14ac:dyDescent="0.3">
      <c r="A95">
        <v>268</v>
      </c>
      <c r="B95">
        <v>502</v>
      </c>
      <c r="C95">
        <v>25</v>
      </c>
      <c r="D95">
        <v>4.9800000000000004</v>
      </c>
      <c r="E95">
        <v>0.06</v>
      </c>
      <c r="F95">
        <v>92</v>
      </c>
    </row>
    <row r="96" spans="1:6" x14ac:dyDescent="0.3">
      <c r="A96">
        <v>1318</v>
      </c>
      <c r="B96">
        <v>107</v>
      </c>
      <c r="C96">
        <v>22</v>
      </c>
      <c r="D96">
        <v>20.56</v>
      </c>
      <c r="E96">
        <v>0.05</v>
      </c>
      <c r="F96">
        <v>93</v>
      </c>
    </row>
    <row r="97" spans="1:6" x14ac:dyDescent="0.3">
      <c r="A97">
        <v>1881</v>
      </c>
      <c r="B97">
        <v>290</v>
      </c>
      <c r="C97">
        <v>20</v>
      </c>
      <c r="D97">
        <v>6.9</v>
      </c>
      <c r="E97">
        <v>0.05</v>
      </c>
      <c r="F97">
        <v>94</v>
      </c>
    </row>
    <row r="98" spans="1:6" x14ac:dyDescent="0.3">
      <c r="A98">
        <v>459</v>
      </c>
      <c r="B98">
        <v>522</v>
      </c>
      <c r="C98">
        <v>21</v>
      </c>
      <c r="D98">
        <v>4.0199999999999996</v>
      </c>
      <c r="E98">
        <v>0.05</v>
      </c>
      <c r="F98">
        <v>95</v>
      </c>
    </row>
    <row r="99" spans="1:6" x14ac:dyDescent="0.3">
      <c r="A99">
        <v>584</v>
      </c>
      <c r="B99">
        <v>156</v>
      </c>
      <c r="C99">
        <v>18</v>
      </c>
      <c r="D99">
        <v>11.54</v>
      </c>
      <c r="E99">
        <v>0.04</v>
      </c>
      <c r="F99">
        <v>96</v>
      </c>
    </row>
    <row r="100" spans="1:6" x14ac:dyDescent="0.3">
      <c r="A100">
        <v>819</v>
      </c>
      <c r="B100">
        <v>139</v>
      </c>
      <c r="C100">
        <v>15</v>
      </c>
      <c r="D100">
        <v>10.79</v>
      </c>
      <c r="E100">
        <v>0.04</v>
      </c>
      <c r="F100">
        <v>97</v>
      </c>
    </row>
    <row r="101" spans="1:6" x14ac:dyDescent="0.3">
      <c r="A101">
        <v>302</v>
      </c>
      <c r="B101">
        <v>307</v>
      </c>
      <c r="C101">
        <v>15</v>
      </c>
      <c r="D101">
        <v>4.8899999999999997</v>
      </c>
      <c r="E101">
        <v>0.04</v>
      </c>
      <c r="F101">
        <v>98</v>
      </c>
    </row>
    <row r="102" spans="1:6" x14ac:dyDescent="0.3">
      <c r="A102">
        <v>223</v>
      </c>
      <c r="B102">
        <v>983</v>
      </c>
      <c r="C102">
        <v>18</v>
      </c>
      <c r="D102">
        <v>1.83</v>
      </c>
      <c r="E102">
        <v>0.04</v>
      </c>
      <c r="F102">
        <v>99</v>
      </c>
    </row>
    <row r="103" spans="1:6" x14ac:dyDescent="0.3">
      <c r="A103">
        <v>645</v>
      </c>
      <c r="B103">
        <v>1142</v>
      </c>
      <c r="C103">
        <v>16</v>
      </c>
      <c r="D103">
        <v>1.4</v>
      </c>
      <c r="E103">
        <v>0.04</v>
      </c>
      <c r="F103">
        <v>100</v>
      </c>
    </row>
    <row r="104" spans="1:6" x14ac:dyDescent="0.3">
      <c r="A104">
        <v>140</v>
      </c>
      <c r="B104">
        <v>1758</v>
      </c>
      <c r="C104">
        <v>18</v>
      </c>
      <c r="D104">
        <v>1.02</v>
      </c>
      <c r="E104">
        <v>0.04</v>
      </c>
      <c r="F104">
        <v>101</v>
      </c>
    </row>
    <row r="105" spans="1:6" x14ac:dyDescent="0.3">
      <c r="A105">
        <v>595</v>
      </c>
      <c r="B105">
        <v>109</v>
      </c>
      <c r="C105">
        <v>13</v>
      </c>
      <c r="D105">
        <v>11.93</v>
      </c>
      <c r="E105">
        <v>0.03</v>
      </c>
      <c r="F105">
        <v>102</v>
      </c>
    </row>
    <row r="106" spans="1:6" x14ac:dyDescent="0.3">
      <c r="A106">
        <v>1148</v>
      </c>
      <c r="B106">
        <v>167</v>
      </c>
      <c r="C106">
        <v>11</v>
      </c>
      <c r="D106">
        <v>6.59</v>
      </c>
      <c r="E106">
        <v>0.03</v>
      </c>
      <c r="F106">
        <v>103</v>
      </c>
    </row>
    <row r="107" spans="1:6" x14ac:dyDescent="0.3">
      <c r="A107">
        <v>291</v>
      </c>
      <c r="B107">
        <v>286</v>
      </c>
      <c r="C107">
        <v>14</v>
      </c>
      <c r="D107">
        <v>4.9000000000000004</v>
      </c>
      <c r="E107">
        <v>0.03</v>
      </c>
      <c r="F107">
        <v>104</v>
      </c>
    </row>
    <row r="108" spans="1:6" x14ac:dyDescent="0.3">
      <c r="A108">
        <v>427</v>
      </c>
      <c r="B108">
        <v>245</v>
      </c>
      <c r="C108">
        <v>11</v>
      </c>
      <c r="D108">
        <v>4.49</v>
      </c>
      <c r="E108">
        <v>0.03</v>
      </c>
      <c r="F108">
        <v>105</v>
      </c>
    </row>
    <row r="109" spans="1:6" x14ac:dyDescent="0.3">
      <c r="A109">
        <v>1208</v>
      </c>
      <c r="B109">
        <v>260</v>
      </c>
      <c r="C109">
        <v>11</v>
      </c>
      <c r="D109">
        <v>4.2300000000000004</v>
      </c>
      <c r="E109">
        <v>0.03</v>
      </c>
      <c r="F109">
        <v>106</v>
      </c>
    </row>
    <row r="110" spans="1:6" x14ac:dyDescent="0.3">
      <c r="A110">
        <v>1771</v>
      </c>
      <c r="B110">
        <v>377</v>
      </c>
      <c r="C110">
        <v>13</v>
      </c>
      <c r="D110">
        <v>3.45</v>
      </c>
      <c r="E110">
        <v>0.03</v>
      </c>
      <c r="F110">
        <v>107</v>
      </c>
    </row>
    <row r="111" spans="1:6" x14ac:dyDescent="0.3">
      <c r="A111">
        <v>1107</v>
      </c>
      <c r="B111">
        <v>130</v>
      </c>
      <c r="C111">
        <v>7</v>
      </c>
      <c r="D111">
        <v>5.38</v>
      </c>
      <c r="E111">
        <v>0.02</v>
      </c>
      <c r="F111">
        <v>108</v>
      </c>
    </row>
    <row r="112" spans="1:6" x14ac:dyDescent="0.3">
      <c r="A112">
        <v>581</v>
      </c>
      <c r="B112">
        <v>169</v>
      </c>
      <c r="C112">
        <v>8</v>
      </c>
      <c r="D112">
        <v>4.7300000000000004</v>
      </c>
      <c r="E112">
        <v>0.02</v>
      </c>
      <c r="F112">
        <v>109</v>
      </c>
    </row>
    <row r="113" spans="1:6" x14ac:dyDescent="0.3">
      <c r="A113">
        <v>1942</v>
      </c>
      <c r="B113">
        <v>110</v>
      </c>
      <c r="C113">
        <v>6</v>
      </c>
      <c r="D113">
        <v>5.45</v>
      </c>
      <c r="E113">
        <v>0.01</v>
      </c>
      <c r="F113">
        <v>110</v>
      </c>
    </row>
    <row r="114" spans="1:6" x14ac:dyDescent="0.3">
      <c r="A114">
        <v>1198</v>
      </c>
      <c r="B114">
        <v>133</v>
      </c>
      <c r="C114">
        <v>6</v>
      </c>
      <c r="D114">
        <v>4.51</v>
      </c>
      <c r="E114">
        <v>0.01</v>
      </c>
      <c r="F114">
        <v>111</v>
      </c>
    </row>
    <row r="115" spans="1:6" x14ac:dyDescent="0.3">
      <c r="A115">
        <v>638</v>
      </c>
      <c r="B115">
        <v>123</v>
      </c>
      <c r="C115">
        <v>5</v>
      </c>
      <c r="D115">
        <v>4.07</v>
      </c>
      <c r="E115">
        <v>0.01</v>
      </c>
      <c r="F115">
        <v>112</v>
      </c>
    </row>
    <row r="116" spans="1:6" x14ac:dyDescent="0.3">
      <c r="A116">
        <v>343</v>
      </c>
      <c r="B116">
        <v>210</v>
      </c>
      <c r="C116">
        <v>4</v>
      </c>
      <c r="D116">
        <v>1.9</v>
      </c>
      <c r="E116">
        <v>0.01</v>
      </c>
      <c r="F116">
        <v>113</v>
      </c>
    </row>
    <row r="117" spans="1:6" x14ac:dyDescent="0.3">
      <c r="A117">
        <v>634</v>
      </c>
      <c r="B117">
        <v>1015</v>
      </c>
      <c r="C117">
        <v>3</v>
      </c>
      <c r="D117">
        <v>0.3</v>
      </c>
      <c r="E117">
        <v>0.01</v>
      </c>
      <c r="F117">
        <v>114</v>
      </c>
    </row>
    <row r="118" spans="1:6" x14ac:dyDescent="0.3">
      <c r="A118">
        <v>637</v>
      </c>
      <c r="B118">
        <v>193</v>
      </c>
      <c r="C118">
        <v>1</v>
      </c>
      <c r="D118">
        <v>0.52</v>
      </c>
      <c r="E118">
        <v>0</v>
      </c>
      <c r="F118">
        <v>115</v>
      </c>
    </row>
    <row r="119" spans="1:6" x14ac:dyDescent="0.3">
      <c r="A119">
        <v>458</v>
      </c>
      <c r="B119">
        <v>422</v>
      </c>
      <c r="C119">
        <v>2</v>
      </c>
      <c r="D119">
        <v>0.47</v>
      </c>
      <c r="E119">
        <v>0</v>
      </c>
      <c r="F119">
        <v>116</v>
      </c>
    </row>
    <row r="120" spans="1:6" x14ac:dyDescent="0.3">
      <c r="A120">
        <v>1051</v>
      </c>
      <c r="B120">
        <v>719</v>
      </c>
      <c r="C120">
        <v>2</v>
      </c>
      <c r="D120">
        <v>0.28000000000000003</v>
      </c>
      <c r="E120">
        <v>0</v>
      </c>
      <c r="F120">
        <v>117</v>
      </c>
    </row>
    <row r="121" spans="1:6" x14ac:dyDescent="0.3">
      <c r="A121">
        <v>154</v>
      </c>
      <c r="B121">
        <v>426</v>
      </c>
      <c r="C121">
        <v>1</v>
      </c>
      <c r="D121">
        <v>0.23</v>
      </c>
      <c r="E121">
        <v>0</v>
      </c>
      <c r="F121">
        <v>118</v>
      </c>
    </row>
    <row r="122" spans="1:6" x14ac:dyDescent="0.3">
      <c r="A122">
        <v>1219</v>
      </c>
      <c r="B122">
        <v>533</v>
      </c>
      <c r="C122">
        <v>1</v>
      </c>
      <c r="D122">
        <v>0.19</v>
      </c>
      <c r="E122">
        <v>0</v>
      </c>
      <c r="F122">
        <v>119</v>
      </c>
    </row>
    <row r="123" spans="1:6" x14ac:dyDescent="0.3">
      <c r="A123">
        <v>420</v>
      </c>
      <c r="B123">
        <v>1073</v>
      </c>
      <c r="C123">
        <v>1</v>
      </c>
      <c r="D123">
        <v>0.09</v>
      </c>
      <c r="E123">
        <v>0</v>
      </c>
      <c r="F123">
        <v>120</v>
      </c>
    </row>
    <row r="124" spans="1:6" x14ac:dyDescent="0.3">
      <c r="A124">
        <v>1372</v>
      </c>
      <c r="B124">
        <v>143</v>
      </c>
      <c r="C124">
        <v>0</v>
      </c>
      <c r="D124">
        <v>0</v>
      </c>
      <c r="E124">
        <v>0</v>
      </c>
      <c r="F124">
        <v>121</v>
      </c>
    </row>
    <row r="125" spans="1:6" x14ac:dyDescent="0.3">
      <c r="A125">
        <v>683</v>
      </c>
      <c r="B125">
        <v>172</v>
      </c>
      <c r="C125">
        <v>0</v>
      </c>
      <c r="D125">
        <v>0</v>
      </c>
      <c r="E125">
        <v>0</v>
      </c>
      <c r="F125">
        <v>121</v>
      </c>
    </row>
    <row r="126" spans="1:6" x14ac:dyDescent="0.3">
      <c r="A126">
        <v>1018</v>
      </c>
      <c r="B126">
        <v>101</v>
      </c>
      <c r="C126">
        <v>0</v>
      </c>
      <c r="D126">
        <v>0</v>
      </c>
      <c r="E126">
        <v>0</v>
      </c>
      <c r="F126">
        <v>121</v>
      </c>
    </row>
    <row r="127" spans="1:6" x14ac:dyDescent="0.3">
      <c r="A127">
        <v>11</v>
      </c>
      <c r="B127">
        <v>161</v>
      </c>
      <c r="C127">
        <v>0</v>
      </c>
      <c r="D127">
        <v>0</v>
      </c>
      <c r="E127">
        <v>0</v>
      </c>
      <c r="F127">
        <v>121</v>
      </c>
    </row>
    <row r="128" spans="1:6" x14ac:dyDescent="0.3">
      <c r="A128">
        <v>303</v>
      </c>
      <c r="B128">
        <v>542</v>
      </c>
      <c r="C128">
        <v>0</v>
      </c>
      <c r="D128">
        <v>0</v>
      </c>
      <c r="E128">
        <v>0</v>
      </c>
      <c r="F128">
        <v>121</v>
      </c>
    </row>
    <row r="129" spans="1:6" x14ac:dyDescent="0.3">
      <c r="A129">
        <v>31</v>
      </c>
      <c r="B129">
        <v>181</v>
      </c>
      <c r="C129">
        <v>0</v>
      </c>
      <c r="D129">
        <v>0</v>
      </c>
      <c r="E129">
        <v>0</v>
      </c>
      <c r="F129">
        <v>121</v>
      </c>
    </row>
    <row r="130" spans="1:6" x14ac:dyDescent="0.3">
      <c r="A130">
        <v>710</v>
      </c>
      <c r="B130">
        <v>148</v>
      </c>
      <c r="C130">
        <v>0</v>
      </c>
      <c r="D130">
        <v>0</v>
      </c>
      <c r="E130">
        <v>0</v>
      </c>
      <c r="F130">
        <v>121</v>
      </c>
    </row>
    <row r="131" spans="1:6" x14ac:dyDescent="0.3">
      <c r="A131">
        <v>926</v>
      </c>
      <c r="B131">
        <v>150</v>
      </c>
      <c r="C131">
        <v>0</v>
      </c>
      <c r="D131">
        <v>0</v>
      </c>
      <c r="E131">
        <v>0</v>
      </c>
      <c r="F131">
        <v>121</v>
      </c>
    </row>
    <row r="132" spans="1:6" x14ac:dyDescent="0.3">
      <c r="A132">
        <v>1</v>
      </c>
      <c r="B132">
        <v>339</v>
      </c>
      <c r="C132">
        <v>0</v>
      </c>
      <c r="D132">
        <v>0</v>
      </c>
      <c r="E132">
        <v>0</v>
      </c>
      <c r="F132">
        <v>121</v>
      </c>
    </row>
    <row r="133" spans="1:6" x14ac:dyDescent="0.3">
      <c r="A133">
        <v>697</v>
      </c>
      <c r="B133">
        <v>274</v>
      </c>
      <c r="C133">
        <v>0</v>
      </c>
      <c r="D133">
        <v>0</v>
      </c>
      <c r="E133">
        <v>0</v>
      </c>
      <c r="F133">
        <v>121</v>
      </c>
    </row>
    <row r="134" spans="1:6" x14ac:dyDescent="0.3">
      <c r="A134">
        <v>903</v>
      </c>
      <c r="B134">
        <v>211</v>
      </c>
      <c r="C134">
        <v>0</v>
      </c>
      <c r="D134">
        <v>0</v>
      </c>
      <c r="E134">
        <v>0</v>
      </c>
      <c r="F134">
        <v>121</v>
      </c>
    </row>
    <row r="135" spans="1:6" x14ac:dyDescent="0.3">
      <c r="A135">
        <v>582</v>
      </c>
      <c r="B135">
        <v>174</v>
      </c>
      <c r="C135">
        <v>0</v>
      </c>
      <c r="D135">
        <v>0</v>
      </c>
      <c r="E135">
        <v>0</v>
      </c>
      <c r="F135">
        <v>121</v>
      </c>
    </row>
    <row r="136" spans="1:6" x14ac:dyDescent="0.3">
      <c r="A136">
        <v>488</v>
      </c>
      <c r="B136">
        <v>149</v>
      </c>
      <c r="C136">
        <v>0</v>
      </c>
      <c r="D136">
        <v>0</v>
      </c>
      <c r="E136">
        <v>0</v>
      </c>
      <c r="F136">
        <v>121</v>
      </c>
    </row>
    <row r="137" spans="1:6" x14ac:dyDescent="0.3">
      <c r="A137">
        <v>133</v>
      </c>
      <c r="B137">
        <v>114</v>
      </c>
      <c r="C137">
        <v>0</v>
      </c>
      <c r="D137">
        <v>0</v>
      </c>
      <c r="E137">
        <v>0</v>
      </c>
      <c r="F137">
        <v>121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FF78-9F2E-488F-867B-A8A77BD8CCA3}">
  <dimension ref="A1:Q89"/>
  <sheetViews>
    <sheetView zoomScale="55" zoomScaleNormal="55" workbookViewId="0">
      <selection activeCell="J8" sqref="J8"/>
    </sheetView>
  </sheetViews>
  <sheetFormatPr defaultRowHeight="14.4" x14ac:dyDescent="0.3"/>
  <cols>
    <col min="1" max="1" width="11.5546875" bestFit="1" customWidth="1"/>
    <col min="2" max="2" width="13.109375" customWidth="1"/>
    <col min="3" max="4" width="14.33203125" customWidth="1"/>
    <col min="5" max="5" width="15.44140625" customWidth="1"/>
    <col min="6" max="6" width="9.33203125" customWidth="1"/>
    <col min="7" max="9" width="6" customWidth="1"/>
    <col min="10" max="10" width="13.44140625" bestFit="1" customWidth="1"/>
    <col min="11" max="11" width="16.44140625" bestFit="1" customWidth="1"/>
    <col min="12" max="12" width="31.77734375" bestFit="1" customWidth="1"/>
    <col min="13" max="13" width="9.21875" bestFit="1" customWidth="1"/>
    <col min="14" max="14" width="31.77734375" bestFit="1" customWidth="1"/>
    <col min="15" max="15" width="6" customWidth="1"/>
    <col min="30" max="30" width="13.88671875" bestFit="1" customWidth="1"/>
    <col min="31" max="31" width="16.77734375" bestFit="1" customWidth="1"/>
    <col min="32" max="32" width="30.77734375" bestFit="1" customWidth="1"/>
    <col min="33" max="33" width="9" bestFit="1" customWidth="1"/>
    <col min="34" max="34" width="30.77734375" bestFit="1" customWidth="1"/>
    <col min="35" max="35" width="14.44140625" bestFit="1" customWidth="1"/>
    <col min="36" max="36" width="37" bestFit="1" customWidth="1"/>
  </cols>
  <sheetData>
    <row r="1" spans="1:17" ht="18" x14ac:dyDescent="0.35">
      <c r="A1" s="74" t="s">
        <v>178</v>
      </c>
      <c r="J1" s="74" t="s">
        <v>179</v>
      </c>
      <c r="K1" s="75"/>
      <c r="L1" s="75"/>
      <c r="M1" s="75"/>
      <c r="N1" s="75"/>
      <c r="Q1" s="74" t="s">
        <v>181</v>
      </c>
    </row>
    <row r="2" spans="1:17" x14ac:dyDescent="0.3">
      <c r="A2" t="s">
        <v>189</v>
      </c>
    </row>
    <row r="3" spans="1:17" x14ac:dyDescent="0.3">
      <c r="A3" t="s">
        <v>58</v>
      </c>
      <c r="B3" t="s">
        <v>61</v>
      </c>
      <c r="C3" t="s">
        <v>62</v>
      </c>
      <c r="D3" t="s">
        <v>159</v>
      </c>
      <c r="E3" t="s">
        <v>63</v>
      </c>
      <c r="F3" t="s">
        <v>44</v>
      </c>
      <c r="G3" t="s">
        <v>45</v>
      </c>
      <c r="J3" s="1" t="s">
        <v>58</v>
      </c>
      <c r="K3" t="s">
        <v>48</v>
      </c>
    </row>
    <row r="4" spans="1:17" x14ac:dyDescent="0.3">
      <c r="A4" t="s">
        <v>46</v>
      </c>
      <c r="B4">
        <v>196</v>
      </c>
      <c r="C4">
        <v>1</v>
      </c>
      <c r="D4" t="s">
        <v>155</v>
      </c>
      <c r="E4">
        <v>4187</v>
      </c>
      <c r="F4">
        <v>15</v>
      </c>
      <c r="G4">
        <v>20</v>
      </c>
    </row>
    <row r="5" spans="1:17" x14ac:dyDescent="0.3">
      <c r="A5" t="s">
        <v>46</v>
      </c>
      <c r="B5">
        <v>196</v>
      </c>
      <c r="C5">
        <v>1</v>
      </c>
      <c r="D5" t="s">
        <v>154</v>
      </c>
      <c r="E5">
        <v>4187</v>
      </c>
      <c r="F5">
        <v>1</v>
      </c>
      <c r="G5">
        <v>19</v>
      </c>
      <c r="K5" s="1" t="s">
        <v>190</v>
      </c>
    </row>
    <row r="6" spans="1:17" x14ac:dyDescent="0.3">
      <c r="A6" t="s">
        <v>47</v>
      </c>
      <c r="B6">
        <v>196</v>
      </c>
      <c r="C6">
        <v>1</v>
      </c>
      <c r="D6" t="s">
        <v>155</v>
      </c>
      <c r="E6">
        <v>3896</v>
      </c>
      <c r="F6">
        <v>4</v>
      </c>
      <c r="G6">
        <v>45</v>
      </c>
      <c r="K6" t="s">
        <v>154</v>
      </c>
      <c r="M6" t="s">
        <v>155</v>
      </c>
    </row>
    <row r="7" spans="1:17" x14ac:dyDescent="0.3">
      <c r="A7" t="s">
        <v>47</v>
      </c>
      <c r="B7">
        <v>196</v>
      </c>
      <c r="C7">
        <v>1</v>
      </c>
      <c r="D7" t="s">
        <v>154</v>
      </c>
      <c r="E7">
        <v>3896</v>
      </c>
      <c r="F7">
        <v>32</v>
      </c>
      <c r="G7">
        <v>32</v>
      </c>
      <c r="J7" s="1" t="s">
        <v>191</v>
      </c>
      <c r="K7" t="s">
        <v>146</v>
      </c>
      <c r="L7" t="s">
        <v>160</v>
      </c>
      <c r="M7" t="s">
        <v>146</v>
      </c>
      <c r="N7" t="s">
        <v>160</v>
      </c>
    </row>
    <row r="8" spans="1:17" x14ac:dyDescent="0.3">
      <c r="A8" t="s">
        <v>48</v>
      </c>
      <c r="B8">
        <v>196</v>
      </c>
      <c r="C8">
        <v>1</v>
      </c>
      <c r="D8" t="s">
        <v>154</v>
      </c>
      <c r="E8">
        <v>4176</v>
      </c>
      <c r="F8">
        <v>16</v>
      </c>
      <c r="G8">
        <v>35</v>
      </c>
      <c r="J8" s="2">
        <v>1</v>
      </c>
    </row>
    <row r="9" spans="1:17" x14ac:dyDescent="0.3">
      <c r="A9" t="s">
        <v>48</v>
      </c>
      <c r="B9">
        <v>196</v>
      </c>
      <c r="C9">
        <v>1</v>
      </c>
      <c r="D9" t="s">
        <v>155</v>
      </c>
      <c r="E9">
        <v>4176</v>
      </c>
      <c r="F9">
        <v>105</v>
      </c>
      <c r="G9">
        <v>120</v>
      </c>
      <c r="J9" s="20">
        <v>196</v>
      </c>
      <c r="K9">
        <v>16</v>
      </c>
      <c r="L9">
        <v>24</v>
      </c>
      <c r="M9">
        <v>105</v>
      </c>
      <c r="N9">
        <v>24</v>
      </c>
    </row>
    <row r="10" spans="1:17" x14ac:dyDescent="0.3">
      <c r="A10" t="s">
        <v>46</v>
      </c>
      <c r="B10">
        <v>1294</v>
      </c>
      <c r="C10">
        <v>2</v>
      </c>
      <c r="D10" t="s">
        <v>154</v>
      </c>
      <c r="E10">
        <v>4403</v>
      </c>
      <c r="F10">
        <v>14</v>
      </c>
      <c r="G10">
        <v>21</v>
      </c>
      <c r="J10" s="2">
        <v>2</v>
      </c>
    </row>
    <row r="11" spans="1:17" x14ac:dyDescent="0.3">
      <c r="A11" t="s">
        <v>46</v>
      </c>
      <c r="B11">
        <v>1294</v>
      </c>
      <c r="C11">
        <v>2</v>
      </c>
      <c r="D11" t="s">
        <v>155</v>
      </c>
      <c r="E11">
        <v>4403</v>
      </c>
      <c r="F11">
        <v>14</v>
      </c>
      <c r="G11">
        <v>18</v>
      </c>
      <c r="J11" s="20">
        <v>1294</v>
      </c>
      <c r="K11">
        <v>39</v>
      </c>
      <c r="L11">
        <v>24</v>
      </c>
      <c r="M11">
        <v>90</v>
      </c>
      <c r="N11">
        <v>24</v>
      </c>
    </row>
    <row r="12" spans="1:17" x14ac:dyDescent="0.3">
      <c r="A12" t="s">
        <v>47</v>
      </c>
      <c r="B12">
        <v>1294</v>
      </c>
      <c r="C12">
        <v>2</v>
      </c>
      <c r="D12" t="s">
        <v>154</v>
      </c>
      <c r="E12">
        <v>4372</v>
      </c>
      <c r="F12">
        <v>3</v>
      </c>
      <c r="G12">
        <v>14</v>
      </c>
      <c r="J12" s="2">
        <v>3</v>
      </c>
    </row>
    <row r="13" spans="1:17" x14ac:dyDescent="0.3">
      <c r="A13" t="s">
        <v>47</v>
      </c>
      <c r="B13">
        <v>1294</v>
      </c>
      <c r="C13">
        <v>2</v>
      </c>
      <c r="D13" t="s">
        <v>155</v>
      </c>
      <c r="E13">
        <v>4372</v>
      </c>
      <c r="F13">
        <v>7</v>
      </c>
      <c r="G13">
        <v>24</v>
      </c>
      <c r="J13" s="20">
        <v>1696</v>
      </c>
      <c r="K13">
        <v>59</v>
      </c>
      <c r="L13">
        <v>24</v>
      </c>
      <c r="M13">
        <v>73</v>
      </c>
      <c r="N13">
        <v>24</v>
      </c>
    </row>
    <row r="14" spans="1:17" x14ac:dyDescent="0.3">
      <c r="A14" t="s">
        <v>48</v>
      </c>
      <c r="B14">
        <v>1294</v>
      </c>
      <c r="C14">
        <v>2</v>
      </c>
      <c r="D14" t="s">
        <v>155</v>
      </c>
      <c r="E14">
        <v>4402</v>
      </c>
      <c r="F14">
        <v>90</v>
      </c>
      <c r="G14">
        <v>112</v>
      </c>
      <c r="J14" s="2">
        <v>4</v>
      </c>
    </row>
    <row r="15" spans="1:17" x14ac:dyDescent="0.3">
      <c r="A15" t="s">
        <v>48</v>
      </c>
      <c r="B15">
        <v>1294</v>
      </c>
      <c r="C15">
        <v>2</v>
      </c>
      <c r="D15" t="s">
        <v>154</v>
      </c>
      <c r="E15">
        <v>4402</v>
      </c>
      <c r="F15">
        <v>39</v>
      </c>
      <c r="G15">
        <v>51</v>
      </c>
      <c r="J15" s="20">
        <v>24</v>
      </c>
      <c r="K15">
        <v>38</v>
      </c>
      <c r="L15">
        <v>24</v>
      </c>
      <c r="M15">
        <v>74</v>
      </c>
      <c r="N15">
        <v>24</v>
      </c>
    </row>
    <row r="16" spans="1:17" x14ac:dyDescent="0.3">
      <c r="A16" t="s">
        <v>46</v>
      </c>
      <c r="B16">
        <v>1696</v>
      </c>
      <c r="C16">
        <v>3</v>
      </c>
      <c r="D16" t="s">
        <v>154</v>
      </c>
      <c r="E16">
        <v>3477</v>
      </c>
      <c r="F16">
        <v>4</v>
      </c>
      <c r="G16">
        <v>9</v>
      </c>
      <c r="J16" s="2">
        <v>5</v>
      </c>
    </row>
    <row r="17" spans="1:14" x14ac:dyDescent="0.3">
      <c r="A17" t="s">
        <v>46</v>
      </c>
      <c r="B17">
        <v>1696</v>
      </c>
      <c r="C17">
        <v>3</v>
      </c>
      <c r="D17" t="s">
        <v>155</v>
      </c>
      <c r="E17">
        <v>3477</v>
      </c>
      <c r="F17">
        <v>8</v>
      </c>
      <c r="G17">
        <v>26</v>
      </c>
      <c r="J17" s="20">
        <v>789</v>
      </c>
      <c r="K17">
        <v>3</v>
      </c>
      <c r="L17">
        <v>24</v>
      </c>
      <c r="M17">
        <v>86</v>
      </c>
      <c r="N17">
        <v>24</v>
      </c>
    </row>
    <row r="18" spans="1:14" x14ac:dyDescent="0.3">
      <c r="A18" t="s">
        <v>47</v>
      </c>
      <c r="B18">
        <v>1696</v>
      </c>
      <c r="C18">
        <v>3</v>
      </c>
      <c r="D18" t="s">
        <v>155</v>
      </c>
      <c r="E18">
        <v>3459</v>
      </c>
      <c r="F18">
        <v>3</v>
      </c>
      <c r="G18">
        <v>17</v>
      </c>
      <c r="J18" s="2">
        <v>6</v>
      </c>
    </row>
    <row r="19" spans="1:14" x14ac:dyDescent="0.3">
      <c r="A19" t="s">
        <v>47</v>
      </c>
      <c r="B19">
        <v>1696</v>
      </c>
      <c r="C19">
        <v>3</v>
      </c>
      <c r="D19" t="s">
        <v>154</v>
      </c>
      <c r="E19">
        <v>3459</v>
      </c>
      <c r="F19">
        <v>5</v>
      </c>
      <c r="G19">
        <v>16</v>
      </c>
      <c r="J19" s="20">
        <v>531</v>
      </c>
      <c r="L19">
        <v>24</v>
      </c>
      <c r="M19">
        <v>101</v>
      </c>
      <c r="N19">
        <v>24</v>
      </c>
    </row>
    <row r="20" spans="1:14" x14ac:dyDescent="0.3">
      <c r="A20" t="s">
        <v>48</v>
      </c>
      <c r="B20">
        <v>1696</v>
      </c>
      <c r="C20">
        <v>3</v>
      </c>
      <c r="D20" t="s">
        <v>154</v>
      </c>
      <c r="E20">
        <v>3474</v>
      </c>
      <c r="F20">
        <v>59</v>
      </c>
      <c r="G20">
        <v>68</v>
      </c>
      <c r="J20" s="2">
        <v>7</v>
      </c>
    </row>
    <row r="21" spans="1:14" x14ac:dyDescent="0.3">
      <c r="A21" t="s">
        <v>48</v>
      </c>
      <c r="B21">
        <v>1696</v>
      </c>
      <c r="C21">
        <v>3</v>
      </c>
      <c r="D21" t="s">
        <v>155</v>
      </c>
      <c r="E21">
        <v>3474</v>
      </c>
      <c r="F21">
        <v>73</v>
      </c>
      <c r="G21">
        <v>85</v>
      </c>
      <c r="J21" s="20">
        <v>739</v>
      </c>
      <c r="K21">
        <v>23</v>
      </c>
      <c r="L21">
        <v>24</v>
      </c>
      <c r="M21">
        <v>34</v>
      </c>
      <c r="N21">
        <v>24</v>
      </c>
    </row>
    <row r="22" spans="1:14" x14ac:dyDescent="0.3">
      <c r="A22" t="s">
        <v>46</v>
      </c>
      <c r="B22">
        <v>24</v>
      </c>
      <c r="C22">
        <v>4</v>
      </c>
      <c r="D22" t="s">
        <v>155</v>
      </c>
      <c r="E22">
        <v>2826</v>
      </c>
      <c r="F22">
        <v>8</v>
      </c>
      <c r="G22">
        <v>29</v>
      </c>
      <c r="J22" s="2">
        <v>8</v>
      </c>
    </row>
    <row r="23" spans="1:14" x14ac:dyDescent="0.3">
      <c r="A23" t="s">
        <v>46</v>
      </c>
      <c r="B23">
        <v>24</v>
      </c>
      <c r="C23">
        <v>4</v>
      </c>
      <c r="D23" t="s">
        <v>154</v>
      </c>
      <c r="E23">
        <v>2826</v>
      </c>
      <c r="F23">
        <v>7</v>
      </c>
      <c r="G23">
        <v>21</v>
      </c>
      <c r="J23" s="20">
        <v>4</v>
      </c>
      <c r="K23">
        <v>28</v>
      </c>
      <c r="L23">
        <v>24</v>
      </c>
      <c r="M23">
        <v>49</v>
      </c>
      <c r="N23">
        <v>24</v>
      </c>
    </row>
    <row r="24" spans="1:14" x14ac:dyDescent="0.3">
      <c r="A24" t="s">
        <v>47</v>
      </c>
      <c r="B24">
        <v>24</v>
      </c>
      <c r="C24">
        <v>4</v>
      </c>
      <c r="D24" t="s">
        <v>155</v>
      </c>
      <c r="E24">
        <v>2814</v>
      </c>
      <c r="F24">
        <v>6</v>
      </c>
      <c r="G24">
        <v>14</v>
      </c>
      <c r="J24" s="2">
        <v>9</v>
      </c>
    </row>
    <row r="25" spans="1:14" x14ac:dyDescent="0.3">
      <c r="A25" t="s">
        <v>47</v>
      </c>
      <c r="B25">
        <v>24</v>
      </c>
      <c r="C25">
        <v>4</v>
      </c>
      <c r="D25" t="s">
        <v>154</v>
      </c>
      <c r="E25">
        <v>2814</v>
      </c>
      <c r="F25">
        <v>6</v>
      </c>
      <c r="G25">
        <v>12</v>
      </c>
      <c r="J25" s="20">
        <v>1468</v>
      </c>
      <c r="K25">
        <v>14</v>
      </c>
      <c r="L25">
        <v>24</v>
      </c>
      <c r="M25">
        <v>24</v>
      </c>
      <c r="N25">
        <v>24</v>
      </c>
    </row>
    <row r="26" spans="1:14" x14ac:dyDescent="0.3">
      <c r="A26" t="s">
        <v>48</v>
      </c>
      <c r="B26">
        <v>24</v>
      </c>
      <c r="C26">
        <v>4</v>
      </c>
      <c r="D26" t="s">
        <v>154</v>
      </c>
      <c r="E26">
        <v>2823</v>
      </c>
      <c r="F26">
        <v>38</v>
      </c>
      <c r="G26">
        <v>63</v>
      </c>
      <c r="J26" s="2">
        <v>10</v>
      </c>
    </row>
    <row r="27" spans="1:14" x14ac:dyDescent="0.3">
      <c r="A27" t="s">
        <v>48</v>
      </c>
      <c r="B27">
        <v>24</v>
      </c>
      <c r="C27">
        <v>4</v>
      </c>
      <c r="D27" t="s">
        <v>155</v>
      </c>
      <c r="E27">
        <v>2823</v>
      </c>
      <c r="F27">
        <v>74</v>
      </c>
      <c r="G27">
        <v>87</v>
      </c>
      <c r="J27" s="20">
        <v>995</v>
      </c>
      <c r="K27">
        <v>24</v>
      </c>
      <c r="L27">
        <v>24</v>
      </c>
      <c r="M27">
        <v>22</v>
      </c>
      <c r="N27">
        <v>24</v>
      </c>
    </row>
    <row r="28" spans="1:14" x14ac:dyDescent="0.3">
      <c r="A28" t="s">
        <v>46</v>
      </c>
      <c r="B28">
        <v>789</v>
      </c>
      <c r="C28">
        <v>5</v>
      </c>
      <c r="D28" t="s">
        <v>154</v>
      </c>
      <c r="E28">
        <v>2000</v>
      </c>
      <c r="F28">
        <v>0</v>
      </c>
      <c r="G28">
        <v>0</v>
      </c>
      <c r="J28" s="2">
        <v>11</v>
      </c>
    </row>
    <row r="29" spans="1:14" x14ac:dyDescent="0.3">
      <c r="A29" t="s">
        <v>46</v>
      </c>
      <c r="B29">
        <v>789</v>
      </c>
      <c r="C29">
        <v>5</v>
      </c>
      <c r="D29" t="s">
        <v>155</v>
      </c>
      <c r="E29">
        <v>2000</v>
      </c>
      <c r="F29">
        <v>8</v>
      </c>
      <c r="G29">
        <v>11</v>
      </c>
      <c r="J29" s="20">
        <v>1501</v>
      </c>
      <c r="K29">
        <v>46</v>
      </c>
      <c r="L29">
        <v>24</v>
      </c>
      <c r="M29">
        <v>60</v>
      </c>
      <c r="N29">
        <v>24</v>
      </c>
    </row>
    <row r="30" spans="1:14" x14ac:dyDescent="0.3">
      <c r="A30" t="s">
        <v>47</v>
      </c>
      <c r="B30">
        <v>789</v>
      </c>
      <c r="C30">
        <v>5</v>
      </c>
      <c r="D30" t="s">
        <v>155</v>
      </c>
      <c r="E30">
        <v>1983</v>
      </c>
      <c r="F30">
        <v>11</v>
      </c>
      <c r="G30">
        <v>35</v>
      </c>
      <c r="J30" s="2">
        <v>12</v>
      </c>
    </row>
    <row r="31" spans="1:14" x14ac:dyDescent="0.3">
      <c r="A31" t="s">
        <v>47</v>
      </c>
      <c r="B31">
        <v>789</v>
      </c>
      <c r="C31">
        <v>5</v>
      </c>
      <c r="D31" t="s">
        <v>154</v>
      </c>
      <c r="E31">
        <v>1983</v>
      </c>
      <c r="F31">
        <v>27</v>
      </c>
      <c r="G31">
        <v>27</v>
      </c>
      <c r="J31" s="20">
        <v>1236</v>
      </c>
      <c r="K31">
        <v>7</v>
      </c>
      <c r="L31">
        <v>24</v>
      </c>
      <c r="M31">
        <v>21</v>
      </c>
      <c r="N31">
        <v>24</v>
      </c>
    </row>
    <row r="32" spans="1:14" x14ac:dyDescent="0.3">
      <c r="A32" t="s">
        <v>48</v>
      </c>
      <c r="B32">
        <v>789</v>
      </c>
      <c r="C32">
        <v>5</v>
      </c>
      <c r="D32" t="s">
        <v>155</v>
      </c>
      <c r="E32">
        <v>1999</v>
      </c>
      <c r="F32">
        <v>86</v>
      </c>
      <c r="G32">
        <v>109</v>
      </c>
      <c r="J32" s="2">
        <v>13</v>
      </c>
    </row>
    <row r="33" spans="1:14" x14ac:dyDescent="0.3">
      <c r="A33" t="s">
        <v>48</v>
      </c>
      <c r="B33">
        <v>789</v>
      </c>
      <c r="C33">
        <v>5</v>
      </c>
      <c r="D33" t="s">
        <v>154</v>
      </c>
      <c r="E33">
        <v>1999</v>
      </c>
      <c r="F33">
        <v>3</v>
      </c>
      <c r="G33">
        <v>3</v>
      </c>
      <c r="J33" s="20">
        <v>968</v>
      </c>
      <c r="K33">
        <v>0</v>
      </c>
      <c r="L33">
        <v>24</v>
      </c>
      <c r="M33">
        <v>67</v>
      </c>
      <c r="N33">
        <v>24</v>
      </c>
    </row>
    <row r="34" spans="1:14" x14ac:dyDescent="0.3">
      <c r="A34" t="s">
        <v>46</v>
      </c>
      <c r="B34">
        <v>531</v>
      </c>
      <c r="C34">
        <v>6</v>
      </c>
      <c r="D34" t="s">
        <v>155</v>
      </c>
      <c r="E34">
        <v>1633</v>
      </c>
      <c r="F34">
        <v>5</v>
      </c>
      <c r="G34">
        <v>12</v>
      </c>
      <c r="J34" s="2">
        <v>14</v>
      </c>
    </row>
    <row r="35" spans="1:14" x14ac:dyDescent="0.3">
      <c r="A35" t="s">
        <v>47</v>
      </c>
      <c r="B35">
        <v>531</v>
      </c>
      <c r="C35">
        <v>6</v>
      </c>
      <c r="D35" t="s">
        <v>155</v>
      </c>
      <c r="E35">
        <v>1550</v>
      </c>
      <c r="F35">
        <v>4</v>
      </c>
      <c r="G35">
        <v>9</v>
      </c>
      <c r="J35" s="20">
        <v>166</v>
      </c>
      <c r="K35">
        <v>63</v>
      </c>
      <c r="L35">
        <v>24</v>
      </c>
      <c r="M35">
        <v>55</v>
      </c>
      <c r="N35">
        <v>24</v>
      </c>
    </row>
    <row r="36" spans="1:14" x14ac:dyDescent="0.3">
      <c r="A36" t="s">
        <v>48</v>
      </c>
      <c r="B36">
        <v>531</v>
      </c>
      <c r="C36">
        <v>6</v>
      </c>
      <c r="D36" t="s">
        <v>155</v>
      </c>
      <c r="E36">
        <v>1632</v>
      </c>
      <c r="F36">
        <v>101</v>
      </c>
      <c r="G36">
        <v>115</v>
      </c>
      <c r="J36" s="2">
        <v>15</v>
      </c>
    </row>
    <row r="37" spans="1:14" x14ac:dyDescent="0.3">
      <c r="A37" t="s">
        <v>46</v>
      </c>
      <c r="B37">
        <v>739</v>
      </c>
      <c r="C37">
        <v>7</v>
      </c>
      <c r="D37" t="s">
        <v>154</v>
      </c>
      <c r="E37">
        <v>1782</v>
      </c>
      <c r="F37">
        <v>7</v>
      </c>
      <c r="G37">
        <v>16</v>
      </c>
      <c r="J37" s="20">
        <v>921</v>
      </c>
      <c r="K37">
        <v>37</v>
      </c>
      <c r="L37">
        <v>24</v>
      </c>
      <c r="M37">
        <v>51</v>
      </c>
      <c r="N37">
        <v>24</v>
      </c>
    </row>
    <row r="38" spans="1:14" x14ac:dyDescent="0.3">
      <c r="A38" t="s">
        <v>46</v>
      </c>
      <c r="B38">
        <v>739</v>
      </c>
      <c r="C38">
        <v>7</v>
      </c>
      <c r="D38" t="s">
        <v>155</v>
      </c>
      <c r="E38">
        <v>1782</v>
      </c>
      <c r="F38">
        <v>7</v>
      </c>
      <c r="G38">
        <v>9</v>
      </c>
    </row>
    <row r="39" spans="1:14" x14ac:dyDescent="0.3">
      <c r="A39" t="s">
        <v>47</v>
      </c>
      <c r="B39">
        <v>739</v>
      </c>
      <c r="C39">
        <v>7</v>
      </c>
      <c r="D39" t="s">
        <v>154</v>
      </c>
      <c r="E39">
        <v>1778</v>
      </c>
      <c r="F39">
        <v>40</v>
      </c>
      <c r="G39">
        <v>55</v>
      </c>
    </row>
    <row r="40" spans="1:14" x14ac:dyDescent="0.3">
      <c r="A40" t="s">
        <v>47</v>
      </c>
      <c r="B40">
        <v>739</v>
      </c>
      <c r="C40">
        <v>7</v>
      </c>
      <c r="D40" t="s">
        <v>155</v>
      </c>
      <c r="E40">
        <v>1778</v>
      </c>
      <c r="F40">
        <v>46</v>
      </c>
      <c r="G40">
        <v>68</v>
      </c>
    </row>
    <row r="41" spans="1:14" x14ac:dyDescent="0.3">
      <c r="A41" t="s">
        <v>48</v>
      </c>
      <c r="B41">
        <v>739</v>
      </c>
      <c r="C41">
        <v>7</v>
      </c>
      <c r="D41" t="s">
        <v>154</v>
      </c>
      <c r="E41">
        <v>1782</v>
      </c>
      <c r="F41">
        <v>23</v>
      </c>
      <c r="G41">
        <v>34</v>
      </c>
    </row>
    <row r="42" spans="1:14" x14ac:dyDescent="0.3">
      <c r="A42" t="s">
        <v>48</v>
      </c>
      <c r="B42">
        <v>739</v>
      </c>
      <c r="C42">
        <v>7</v>
      </c>
      <c r="D42" t="s">
        <v>155</v>
      </c>
      <c r="E42">
        <v>1782</v>
      </c>
      <c r="F42">
        <v>34</v>
      </c>
      <c r="G42">
        <v>71</v>
      </c>
    </row>
    <row r="43" spans="1:14" x14ac:dyDescent="0.3">
      <c r="A43" t="s">
        <v>46</v>
      </c>
      <c r="B43">
        <v>4</v>
      </c>
      <c r="C43">
        <v>8</v>
      </c>
      <c r="D43" t="s">
        <v>154</v>
      </c>
      <c r="E43">
        <v>962</v>
      </c>
      <c r="F43">
        <v>7</v>
      </c>
      <c r="G43">
        <v>13</v>
      </c>
    </row>
    <row r="44" spans="1:14" x14ac:dyDescent="0.3">
      <c r="A44" t="s">
        <v>46</v>
      </c>
      <c r="B44">
        <v>4</v>
      </c>
      <c r="C44">
        <v>8</v>
      </c>
      <c r="D44" t="s">
        <v>155</v>
      </c>
      <c r="E44">
        <v>962</v>
      </c>
      <c r="F44">
        <v>13</v>
      </c>
      <c r="G44">
        <v>31</v>
      </c>
    </row>
    <row r="45" spans="1:14" x14ac:dyDescent="0.3">
      <c r="A45" t="s">
        <v>47</v>
      </c>
      <c r="B45">
        <v>4</v>
      </c>
      <c r="C45">
        <v>8</v>
      </c>
      <c r="D45" t="s">
        <v>154</v>
      </c>
      <c r="E45">
        <v>943</v>
      </c>
      <c r="F45">
        <v>30</v>
      </c>
      <c r="G45">
        <v>39</v>
      </c>
    </row>
    <row r="46" spans="1:14" x14ac:dyDescent="0.3">
      <c r="A46" t="s">
        <v>47</v>
      </c>
      <c r="B46">
        <v>4</v>
      </c>
      <c r="C46">
        <v>8</v>
      </c>
      <c r="D46" t="s">
        <v>155</v>
      </c>
      <c r="E46">
        <v>943</v>
      </c>
      <c r="F46">
        <v>32</v>
      </c>
      <c r="G46">
        <v>61</v>
      </c>
    </row>
    <row r="47" spans="1:14" x14ac:dyDescent="0.3">
      <c r="A47" t="s">
        <v>48</v>
      </c>
      <c r="B47">
        <v>4</v>
      </c>
      <c r="C47">
        <v>8</v>
      </c>
      <c r="D47" t="s">
        <v>154</v>
      </c>
      <c r="E47">
        <v>960</v>
      </c>
      <c r="F47">
        <v>28</v>
      </c>
      <c r="G47">
        <v>64</v>
      </c>
    </row>
    <row r="48" spans="1:14" x14ac:dyDescent="0.3">
      <c r="A48" t="s">
        <v>48</v>
      </c>
      <c r="B48">
        <v>4</v>
      </c>
      <c r="C48">
        <v>8</v>
      </c>
      <c r="D48" t="s">
        <v>155</v>
      </c>
      <c r="E48">
        <v>960</v>
      </c>
      <c r="F48">
        <v>49</v>
      </c>
      <c r="G48">
        <v>77</v>
      </c>
    </row>
    <row r="49" spans="1:7" x14ac:dyDescent="0.3">
      <c r="A49" t="s">
        <v>46</v>
      </c>
      <c r="B49">
        <v>1468</v>
      </c>
      <c r="C49">
        <v>9</v>
      </c>
      <c r="D49" t="s">
        <v>155</v>
      </c>
      <c r="E49">
        <v>1116</v>
      </c>
      <c r="F49">
        <v>12</v>
      </c>
      <c r="G49">
        <v>22</v>
      </c>
    </row>
    <row r="50" spans="1:7" x14ac:dyDescent="0.3">
      <c r="A50" t="s">
        <v>46</v>
      </c>
      <c r="B50">
        <v>1468</v>
      </c>
      <c r="C50">
        <v>9</v>
      </c>
      <c r="D50" t="s">
        <v>154</v>
      </c>
      <c r="E50">
        <v>1116</v>
      </c>
      <c r="F50">
        <v>11</v>
      </c>
      <c r="G50">
        <v>20</v>
      </c>
    </row>
    <row r="51" spans="1:7" x14ac:dyDescent="0.3">
      <c r="A51" t="s">
        <v>47</v>
      </c>
      <c r="B51">
        <v>1468</v>
      </c>
      <c r="C51">
        <v>9</v>
      </c>
      <c r="D51" t="s">
        <v>154</v>
      </c>
      <c r="E51">
        <v>1116</v>
      </c>
      <c r="F51">
        <v>14</v>
      </c>
      <c r="G51">
        <v>33</v>
      </c>
    </row>
    <row r="52" spans="1:7" x14ac:dyDescent="0.3">
      <c r="A52" t="s">
        <v>47</v>
      </c>
      <c r="B52">
        <v>1468</v>
      </c>
      <c r="C52">
        <v>9</v>
      </c>
      <c r="D52" t="s">
        <v>155</v>
      </c>
      <c r="E52">
        <v>1116</v>
      </c>
      <c r="F52">
        <v>54</v>
      </c>
      <c r="G52">
        <v>114</v>
      </c>
    </row>
    <row r="53" spans="1:7" x14ac:dyDescent="0.3">
      <c r="A53" t="s">
        <v>48</v>
      </c>
      <c r="B53">
        <v>1468</v>
      </c>
      <c r="C53">
        <v>9</v>
      </c>
      <c r="D53" t="s">
        <v>154</v>
      </c>
      <c r="E53">
        <v>1104</v>
      </c>
      <c r="F53">
        <v>14</v>
      </c>
      <c r="G53">
        <v>24</v>
      </c>
    </row>
    <row r="54" spans="1:7" x14ac:dyDescent="0.3">
      <c r="A54" t="s">
        <v>48</v>
      </c>
      <c r="B54">
        <v>1468</v>
      </c>
      <c r="C54">
        <v>9</v>
      </c>
      <c r="D54" t="s">
        <v>155</v>
      </c>
      <c r="E54">
        <v>1104</v>
      </c>
      <c r="F54">
        <v>24</v>
      </c>
      <c r="G54">
        <v>42</v>
      </c>
    </row>
    <row r="55" spans="1:7" x14ac:dyDescent="0.3">
      <c r="A55" t="s">
        <v>46</v>
      </c>
      <c r="B55">
        <v>995</v>
      </c>
      <c r="C55">
        <v>10</v>
      </c>
      <c r="D55" t="s">
        <v>154</v>
      </c>
      <c r="E55">
        <v>1278</v>
      </c>
      <c r="F55">
        <v>21</v>
      </c>
      <c r="G55">
        <v>31</v>
      </c>
    </row>
    <row r="56" spans="1:7" x14ac:dyDescent="0.3">
      <c r="A56" t="s">
        <v>46</v>
      </c>
      <c r="B56">
        <v>995</v>
      </c>
      <c r="C56">
        <v>10</v>
      </c>
      <c r="D56" t="s">
        <v>155</v>
      </c>
      <c r="E56">
        <v>1278</v>
      </c>
      <c r="F56">
        <v>31</v>
      </c>
      <c r="G56">
        <v>55</v>
      </c>
    </row>
    <row r="57" spans="1:7" x14ac:dyDescent="0.3">
      <c r="A57" t="s">
        <v>47</v>
      </c>
      <c r="B57">
        <v>995</v>
      </c>
      <c r="C57">
        <v>10</v>
      </c>
      <c r="D57" t="s">
        <v>155</v>
      </c>
      <c r="E57">
        <v>1268</v>
      </c>
      <c r="F57">
        <v>27</v>
      </c>
      <c r="G57">
        <v>51</v>
      </c>
    </row>
    <row r="58" spans="1:7" x14ac:dyDescent="0.3">
      <c r="A58" t="s">
        <v>47</v>
      </c>
      <c r="B58">
        <v>995</v>
      </c>
      <c r="C58">
        <v>10</v>
      </c>
      <c r="D58" t="s">
        <v>154</v>
      </c>
      <c r="E58">
        <v>1268</v>
      </c>
      <c r="F58">
        <v>10</v>
      </c>
      <c r="G58">
        <v>26</v>
      </c>
    </row>
    <row r="59" spans="1:7" x14ac:dyDescent="0.3">
      <c r="A59" t="s">
        <v>48</v>
      </c>
      <c r="B59">
        <v>995</v>
      </c>
      <c r="C59">
        <v>10</v>
      </c>
      <c r="D59" t="s">
        <v>154</v>
      </c>
      <c r="E59">
        <v>1277</v>
      </c>
      <c r="F59">
        <v>24</v>
      </c>
      <c r="G59">
        <v>36</v>
      </c>
    </row>
    <row r="60" spans="1:7" x14ac:dyDescent="0.3">
      <c r="A60" t="s">
        <v>48</v>
      </c>
      <c r="B60">
        <v>995</v>
      </c>
      <c r="C60">
        <v>10</v>
      </c>
      <c r="D60" t="s">
        <v>155</v>
      </c>
      <c r="E60">
        <v>1277</v>
      </c>
      <c r="F60">
        <v>22</v>
      </c>
      <c r="G60">
        <v>45</v>
      </c>
    </row>
    <row r="61" spans="1:7" x14ac:dyDescent="0.3">
      <c r="A61" t="s">
        <v>46</v>
      </c>
      <c r="B61">
        <v>1501</v>
      </c>
      <c r="C61">
        <v>11</v>
      </c>
      <c r="D61" t="s">
        <v>154</v>
      </c>
      <c r="E61">
        <v>636</v>
      </c>
      <c r="F61">
        <v>7</v>
      </c>
      <c r="G61">
        <v>13</v>
      </c>
    </row>
    <row r="62" spans="1:7" x14ac:dyDescent="0.3">
      <c r="A62" t="s">
        <v>46</v>
      </c>
      <c r="B62">
        <v>1501</v>
      </c>
      <c r="C62">
        <v>11</v>
      </c>
      <c r="D62" t="s">
        <v>155</v>
      </c>
      <c r="E62">
        <v>636</v>
      </c>
      <c r="F62">
        <v>8</v>
      </c>
      <c r="G62">
        <v>16</v>
      </c>
    </row>
    <row r="63" spans="1:7" x14ac:dyDescent="0.3">
      <c r="A63" t="s">
        <v>47</v>
      </c>
      <c r="B63">
        <v>1501</v>
      </c>
      <c r="C63">
        <v>11</v>
      </c>
      <c r="D63" t="s">
        <v>155</v>
      </c>
      <c r="E63">
        <v>628</v>
      </c>
      <c r="F63">
        <v>17</v>
      </c>
      <c r="G63">
        <v>54</v>
      </c>
    </row>
    <row r="64" spans="1:7" x14ac:dyDescent="0.3">
      <c r="A64" t="s">
        <v>47</v>
      </c>
      <c r="B64">
        <v>1501</v>
      </c>
      <c r="C64">
        <v>11</v>
      </c>
      <c r="D64" t="s">
        <v>154</v>
      </c>
      <c r="E64">
        <v>628</v>
      </c>
      <c r="F64">
        <v>7</v>
      </c>
      <c r="G64">
        <v>16</v>
      </c>
    </row>
    <row r="65" spans="1:7" x14ac:dyDescent="0.3">
      <c r="A65" t="s">
        <v>48</v>
      </c>
      <c r="B65">
        <v>1501</v>
      </c>
      <c r="C65">
        <v>11</v>
      </c>
      <c r="D65" t="s">
        <v>154</v>
      </c>
      <c r="E65">
        <v>636</v>
      </c>
      <c r="F65">
        <v>46</v>
      </c>
      <c r="G65">
        <v>63</v>
      </c>
    </row>
    <row r="66" spans="1:7" x14ac:dyDescent="0.3">
      <c r="A66" t="s">
        <v>48</v>
      </c>
      <c r="B66">
        <v>1501</v>
      </c>
      <c r="C66">
        <v>11</v>
      </c>
      <c r="D66" t="s">
        <v>155</v>
      </c>
      <c r="E66">
        <v>636</v>
      </c>
      <c r="F66">
        <v>60</v>
      </c>
      <c r="G66">
        <v>78</v>
      </c>
    </row>
    <row r="67" spans="1:7" x14ac:dyDescent="0.3">
      <c r="A67" t="s">
        <v>46</v>
      </c>
      <c r="B67">
        <v>1236</v>
      </c>
      <c r="C67">
        <v>12</v>
      </c>
      <c r="D67" t="s">
        <v>155</v>
      </c>
      <c r="E67">
        <v>1889</v>
      </c>
      <c r="F67">
        <v>4</v>
      </c>
      <c r="G67">
        <v>30</v>
      </c>
    </row>
    <row r="68" spans="1:7" x14ac:dyDescent="0.3">
      <c r="A68" t="s">
        <v>46</v>
      </c>
      <c r="B68">
        <v>1236</v>
      </c>
      <c r="C68">
        <v>12</v>
      </c>
      <c r="D68" t="s">
        <v>154</v>
      </c>
      <c r="E68">
        <v>1889</v>
      </c>
      <c r="F68">
        <v>2</v>
      </c>
      <c r="G68">
        <v>5</v>
      </c>
    </row>
    <row r="69" spans="1:7" x14ac:dyDescent="0.3">
      <c r="A69" t="s">
        <v>47</v>
      </c>
      <c r="B69">
        <v>1236</v>
      </c>
      <c r="C69">
        <v>12</v>
      </c>
      <c r="D69" t="s">
        <v>155</v>
      </c>
      <c r="E69">
        <v>1889</v>
      </c>
      <c r="F69">
        <v>58</v>
      </c>
      <c r="G69">
        <v>113</v>
      </c>
    </row>
    <row r="70" spans="1:7" x14ac:dyDescent="0.3">
      <c r="A70" t="s">
        <v>47</v>
      </c>
      <c r="B70">
        <v>1236</v>
      </c>
      <c r="C70">
        <v>12</v>
      </c>
      <c r="D70" t="s">
        <v>154</v>
      </c>
      <c r="E70">
        <v>1889</v>
      </c>
      <c r="F70">
        <v>46</v>
      </c>
      <c r="G70">
        <v>62</v>
      </c>
    </row>
    <row r="71" spans="1:7" x14ac:dyDescent="0.3">
      <c r="A71" t="s">
        <v>48</v>
      </c>
      <c r="B71">
        <v>1236</v>
      </c>
      <c r="C71">
        <v>12</v>
      </c>
      <c r="D71" t="s">
        <v>155</v>
      </c>
      <c r="E71">
        <v>1888</v>
      </c>
      <c r="F71">
        <v>21</v>
      </c>
      <c r="G71">
        <v>36</v>
      </c>
    </row>
    <row r="72" spans="1:7" x14ac:dyDescent="0.3">
      <c r="A72" t="s">
        <v>48</v>
      </c>
      <c r="B72">
        <v>1236</v>
      </c>
      <c r="C72">
        <v>12</v>
      </c>
      <c r="D72" t="s">
        <v>154</v>
      </c>
      <c r="E72">
        <v>1888</v>
      </c>
      <c r="F72">
        <v>7</v>
      </c>
      <c r="G72">
        <v>21</v>
      </c>
    </row>
    <row r="73" spans="1:7" x14ac:dyDescent="0.3">
      <c r="A73" t="s">
        <v>46</v>
      </c>
      <c r="B73">
        <v>968</v>
      </c>
      <c r="C73">
        <v>13</v>
      </c>
      <c r="D73" t="s">
        <v>154</v>
      </c>
      <c r="E73">
        <v>434</v>
      </c>
      <c r="F73">
        <v>5</v>
      </c>
      <c r="G73">
        <v>6</v>
      </c>
    </row>
    <row r="74" spans="1:7" x14ac:dyDescent="0.3">
      <c r="A74" t="s">
        <v>46</v>
      </c>
      <c r="B74">
        <v>968</v>
      </c>
      <c r="C74">
        <v>13</v>
      </c>
      <c r="D74" t="s">
        <v>155</v>
      </c>
      <c r="E74">
        <v>434</v>
      </c>
      <c r="F74">
        <v>5</v>
      </c>
      <c r="G74">
        <v>19</v>
      </c>
    </row>
    <row r="75" spans="1:7" x14ac:dyDescent="0.3">
      <c r="A75" t="s">
        <v>47</v>
      </c>
      <c r="B75">
        <v>968</v>
      </c>
      <c r="C75">
        <v>13</v>
      </c>
      <c r="D75" t="s">
        <v>154</v>
      </c>
      <c r="E75">
        <v>428</v>
      </c>
      <c r="F75">
        <v>38</v>
      </c>
      <c r="G75">
        <v>39</v>
      </c>
    </row>
    <row r="76" spans="1:7" x14ac:dyDescent="0.3">
      <c r="A76" t="s">
        <v>47</v>
      </c>
      <c r="B76">
        <v>968</v>
      </c>
      <c r="C76">
        <v>13</v>
      </c>
      <c r="D76" t="s">
        <v>155</v>
      </c>
      <c r="E76">
        <v>428</v>
      </c>
      <c r="F76">
        <v>30</v>
      </c>
      <c r="G76">
        <v>76</v>
      </c>
    </row>
    <row r="77" spans="1:7" x14ac:dyDescent="0.3">
      <c r="A77" t="s">
        <v>48</v>
      </c>
      <c r="B77">
        <v>968</v>
      </c>
      <c r="C77">
        <v>13</v>
      </c>
      <c r="D77" t="s">
        <v>155</v>
      </c>
      <c r="E77">
        <v>434</v>
      </c>
      <c r="F77">
        <v>67</v>
      </c>
      <c r="G77">
        <v>91</v>
      </c>
    </row>
    <row r="78" spans="1:7" x14ac:dyDescent="0.3">
      <c r="A78" t="s">
        <v>48</v>
      </c>
      <c r="B78">
        <v>968</v>
      </c>
      <c r="C78">
        <v>13</v>
      </c>
      <c r="D78" t="s">
        <v>154</v>
      </c>
      <c r="E78">
        <v>434</v>
      </c>
      <c r="F78">
        <v>0</v>
      </c>
      <c r="G78">
        <v>0</v>
      </c>
    </row>
    <row r="79" spans="1:7" x14ac:dyDescent="0.3">
      <c r="A79" t="s">
        <v>46</v>
      </c>
      <c r="B79">
        <v>166</v>
      </c>
      <c r="C79">
        <v>14</v>
      </c>
      <c r="D79" t="s">
        <v>155</v>
      </c>
      <c r="E79">
        <v>436</v>
      </c>
      <c r="F79">
        <v>14</v>
      </c>
      <c r="G79">
        <v>16</v>
      </c>
    </row>
    <row r="80" spans="1:7" x14ac:dyDescent="0.3">
      <c r="A80" t="s">
        <v>46</v>
      </c>
      <c r="B80">
        <v>166</v>
      </c>
      <c r="C80">
        <v>14</v>
      </c>
      <c r="D80" t="s">
        <v>154</v>
      </c>
      <c r="E80">
        <v>436</v>
      </c>
      <c r="F80">
        <v>14</v>
      </c>
      <c r="G80">
        <v>14</v>
      </c>
    </row>
    <row r="81" spans="1:7" x14ac:dyDescent="0.3">
      <c r="A81" t="s">
        <v>47</v>
      </c>
      <c r="B81">
        <v>166</v>
      </c>
      <c r="C81">
        <v>14</v>
      </c>
      <c r="D81" t="s">
        <v>155</v>
      </c>
      <c r="E81">
        <v>419</v>
      </c>
      <c r="F81">
        <v>22</v>
      </c>
      <c r="G81">
        <v>62</v>
      </c>
    </row>
    <row r="82" spans="1:7" x14ac:dyDescent="0.3">
      <c r="A82" t="s">
        <v>48</v>
      </c>
      <c r="B82">
        <v>166</v>
      </c>
      <c r="C82">
        <v>14</v>
      </c>
      <c r="D82" t="s">
        <v>155</v>
      </c>
      <c r="E82">
        <v>436</v>
      </c>
      <c r="F82">
        <v>55</v>
      </c>
      <c r="G82">
        <v>80</v>
      </c>
    </row>
    <row r="83" spans="1:7" x14ac:dyDescent="0.3">
      <c r="A83" t="s">
        <v>48</v>
      </c>
      <c r="B83">
        <v>166</v>
      </c>
      <c r="C83">
        <v>14</v>
      </c>
      <c r="D83" t="s">
        <v>154</v>
      </c>
      <c r="E83">
        <v>436</v>
      </c>
      <c r="F83">
        <v>63</v>
      </c>
      <c r="G83">
        <v>63</v>
      </c>
    </row>
    <row r="84" spans="1:7" x14ac:dyDescent="0.3">
      <c r="A84" t="s">
        <v>46</v>
      </c>
      <c r="B84">
        <v>921</v>
      </c>
      <c r="C84">
        <v>15</v>
      </c>
      <c r="D84" t="s">
        <v>154</v>
      </c>
      <c r="E84">
        <v>481</v>
      </c>
      <c r="F84">
        <v>10</v>
      </c>
      <c r="G84">
        <v>16</v>
      </c>
    </row>
    <row r="85" spans="1:7" x14ac:dyDescent="0.3">
      <c r="A85" t="s">
        <v>46</v>
      </c>
      <c r="B85">
        <v>921</v>
      </c>
      <c r="C85">
        <v>15</v>
      </c>
      <c r="D85" t="s">
        <v>155</v>
      </c>
      <c r="E85">
        <v>481</v>
      </c>
      <c r="F85">
        <v>14</v>
      </c>
      <c r="G85">
        <v>23</v>
      </c>
    </row>
    <row r="86" spans="1:7" x14ac:dyDescent="0.3">
      <c r="A86" t="s">
        <v>47</v>
      </c>
      <c r="B86">
        <v>921</v>
      </c>
      <c r="C86">
        <v>15</v>
      </c>
      <c r="D86" t="s">
        <v>155</v>
      </c>
      <c r="E86">
        <v>466</v>
      </c>
      <c r="F86">
        <v>21</v>
      </c>
      <c r="G86">
        <v>39</v>
      </c>
    </row>
    <row r="87" spans="1:7" x14ac:dyDescent="0.3">
      <c r="A87" t="s">
        <v>47</v>
      </c>
      <c r="B87">
        <v>921</v>
      </c>
      <c r="C87">
        <v>15</v>
      </c>
      <c r="D87" t="s">
        <v>154</v>
      </c>
      <c r="E87">
        <v>466</v>
      </c>
      <c r="F87">
        <v>21</v>
      </c>
      <c r="G87">
        <v>28</v>
      </c>
    </row>
    <row r="88" spans="1:7" x14ac:dyDescent="0.3">
      <c r="A88" t="s">
        <v>48</v>
      </c>
      <c r="B88">
        <v>921</v>
      </c>
      <c r="C88">
        <v>15</v>
      </c>
      <c r="D88" t="s">
        <v>155</v>
      </c>
      <c r="E88">
        <v>478</v>
      </c>
      <c r="F88">
        <v>51</v>
      </c>
      <c r="G88">
        <v>72</v>
      </c>
    </row>
    <row r="89" spans="1:7" x14ac:dyDescent="0.3">
      <c r="A89" t="s">
        <v>48</v>
      </c>
      <c r="B89">
        <v>921</v>
      </c>
      <c r="C89">
        <v>15</v>
      </c>
      <c r="D89" t="s">
        <v>154</v>
      </c>
      <c r="E89">
        <v>478</v>
      </c>
      <c r="F89">
        <v>37</v>
      </c>
      <c r="G89">
        <v>58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23A5A-5E44-4166-AE02-8481370A9976}">
  <dimension ref="A1:N48"/>
  <sheetViews>
    <sheetView zoomScale="70" zoomScaleNormal="70" workbookViewId="0">
      <selection activeCell="M38" sqref="M38"/>
    </sheetView>
  </sheetViews>
  <sheetFormatPr defaultRowHeight="14.4" x14ac:dyDescent="0.3"/>
  <cols>
    <col min="1" max="1" width="11.33203125" customWidth="1"/>
    <col min="2" max="2" width="13.109375" customWidth="1"/>
    <col min="3" max="3" width="14.33203125" customWidth="1"/>
    <col min="4" max="4" width="15.44140625" customWidth="1"/>
    <col min="5" max="5" width="19.33203125" customWidth="1"/>
    <col min="8" max="8" width="20.6640625" bestFit="1" customWidth="1"/>
    <col min="9" max="9" width="28.44140625" bestFit="1" customWidth="1"/>
    <col min="10" max="10" width="10.44140625" bestFit="1" customWidth="1"/>
    <col min="11" max="11" width="9.21875" bestFit="1" customWidth="1"/>
    <col min="12" max="12" width="10.77734375" bestFit="1" customWidth="1"/>
  </cols>
  <sheetData>
    <row r="1" spans="1:14" ht="18" x14ac:dyDescent="0.35">
      <c r="A1" s="74" t="s">
        <v>178</v>
      </c>
      <c r="H1" s="74" t="s">
        <v>179</v>
      </c>
      <c r="K1" s="75"/>
      <c r="L1" s="74" t="s">
        <v>181</v>
      </c>
      <c r="M1" s="75"/>
      <c r="N1" s="75"/>
    </row>
    <row r="2" spans="1:14" x14ac:dyDescent="0.3">
      <c r="A2" t="s">
        <v>189</v>
      </c>
    </row>
    <row r="3" spans="1:14" x14ac:dyDescent="0.3">
      <c r="A3" t="s">
        <v>58</v>
      </c>
      <c r="B3" t="s">
        <v>61</v>
      </c>
      <c r="C3" t="s">
        <v>62</v>
      </c>
      <c r="D3" t="s">
        <v>63</v>
      </c>
      <c r="E3" t="s">
        <v>64</v>
      </c>
      <c r="H3" s="1" t="s">
        <v>58</v>
      </c>
      <c r="I3" t="s">
        <v>48</v>
      </c>
    </row>
    <row r="4" spans="1:14" x14ac:dyDescent="0.3">
      <c r="A4" t="s">
        <v>46</v>
      </c>
      <c r="B4">
        <v>196</v>
      </c>
      <c r="C4">
        <v>1</v>
      </c>
      <c r="D4">
        <v>3880</v>
      </c>
      <c r="E4">
        <v>11.86</v>
      </c>
    </row>
    <row r="5" spans="1:14" x14ac:dyDescent="0.3">
      <c r="A5" t="s">
        <v>47</v>
      </c>
      <c r="B5">
        <v>196</v>
      </c>
      <c r="C5">
        <v>1</v>
      </c>
      <c r="D5">
        <v>3880</v>
      </c>
      <c r="E5">
        <v>3.31</v>
      </c>
      <c r="H5" s="1" t="s">
        <v>191</v>
      </c>
      <c r="I5" t="s">
        <v>187</v>
      </c>
    </row>
    <row r="6" spans="1:14" x14ac:dyDescent="0.3">
      <c r="A6" t="s">
        <v>48</v>
      </c>
      <c r="B6">
        <v>196</v>
      </c>
      <c r="C6">
        <v>1</v>
      </c>
      <c r="D6">
        <v>3880</v>
      </c>
      <c r="E6">
        <v>84.17</v>
      </c>
      <c r="H6" s="2">
        <v>1</v>
      </c>
    </row>
    <row r="7" spans="1:14" x14ac:dyDescent="0.3">
      <c r="A7" t="s">
        <v>46</v>
      </c>
      <c r="B7">
        <v>1294</v>
      </c>
      <c r="C7">
        <v>2</v>
      </c>
      <c r="D7">
        <v>3547</v>
      </c>
      <c r="E7">
        <v>11.67</v>
      </c>
      <c r="H7" s="20">
        <v>196</v>
      </c>
      <c r="I7" s="48">
        <v>84.17</v>
      </c>
    </row>
    <row r="8" spans="1:14" x14ac:dyDescent="0.3">
      <c r="A8" t="s">
        <v>47</v>
      </c>
      <c r="B8">
        <v>1294</v>
      </c>
      <c r="C8">
        <v>2</v>
      </c>
      <c r="D8">
        <v>3547</v>
      </c>
      <c r="E8">
        <v>6.48</v>
      </c>
      <c r="H8" s="2">
        <v>2</v>
      </c>
      <c r="I8" s="48"/>
    </row>
    <row r="9" spans="1:14" x14ac:dyDescent="0.3">
      <c r="A9" t="s">
        <v>48</v>
      </c>
      <c r="B9">
        <v>1294</v>
      </c>
      <c r="C9">
        <v>2</v>
      </c>
      <c r="D9">
        <v>3547</v>
      </c>
      <c r="E9">
        <v>81.900000000000006</v>
      </c>
      <c r="H9" s="20">
        <v>1294</v>
      </c>
      <c r="I9" s="48">
        <v>81.900000000000006</v>
      </c>
    </row>
    <row r="10" spans="1:14" x14ac:dyDescent="0.3">
      <c r="A10" t="s">
        <v>46</v>
      </c>
      <c r="B10">
        <v>1696</v>
      </c>
      <c r="C10">
        <v>3</v>
      </c>
      <c r="D10">
        <v>2663</v>
      </c>
      <c r="E10">
        <v>9.09</v>
      </c>
      <c r="H10" s="2">
        <v>3</v>
      </c>
      <c r="I10" s="48"/>
    </row>
    <row r="11" spans="1:14" x14ac:dyDescent="0.3">
      <c r="A11" t="s">
        <v>47</v>
      </c>
      <c r="B11">
        <v>1696</v>
      </c>
      <c r="C11">
        <v>3</v>
      </c>
      <c r="D11">
        <v>2663</v>
      </c>
      <c r="E11">
        <v>3.8</v>
      </c>
      <c r="H11" s="20">
        <v>1696</v>
      </c>
      <c r="I11" s="48">
        <v>84.62</v>
      </c>
    </row>
    <row r="12" spans="1:14" x14ac:dyDescent="0.3">
      <c r="A12" t="s">
        <v>48</v>
      </c>
      <c r="B12">
        <v>1696</v>
      </c>
      <c r="C12">
        <v>3</v>
      </c>
      <c r="D12">
        <v>2663</v>
      </c>
      <c r="E12">
        <v>84.62</v>
      </c>
      <c r="H12" s="2">
        <v>4</v>
      </c>
      <c r="I12" s="48"/>
    </row>
    <row r="13" spans="1:14" x14ac:dyDescent="0.3">
      <c r="A13" t="s">
        <v>46</v>
      </c>
      <c r="B13">
        <v>24</v>
      </c>
      <c r="C13">
        <v>4</v>
      </c>
      <c r="D13">
        <v>2337</v>
      </c>
      <c r="E13">
        <v>9.57</v>
      </c>
      <c r="H13" s="20">
        <v>24</v>
      </c>
      <c r="I13" s="48">
        <v>80.22</v>
      </c>
    </row>
    <row r="14" spans="1:14" x14ac:dyDescent="0.3">
      <c r="A14" t="s">
        <v>47</v>
      </c>
      <c r="B14">
        <v>24</v>
      </c>
      <c r="C14">
        <v>4</v>
      </c>
      <c r="D14">
        <v>2337</v>
      </c>
      <c r="E14">
        <v>6.9</v>
      </c>
      <c r="H14" s="2">
        <v>5</v>
      </c>
      <c r="I14" s="48"/>
    </row>
    <row r="15" spans="1:14" x14ac:dyDescent="0.3">
      <c r="A15" t="s">
        <v>48</v>
      </c>
      <c r="B15">
        <v>24</v>
      </c>
      <c r="C15">
        <v>4</v>
      </c>
      <c r="D15">
        <v>2337</v>
      </c>
      <c r="E15">
        <v>80.22</v>
      </c>
      <c r="H15" s="20">
        <v>789</v>
      </c>
      <c r="I15" s="48">
        <v>82.79</v>
      </c>
    </row>
    <row r="16" spans="1:14" x14ac:dyDescent="0.3">
      <c r="A16" t="s">
        <v>46</v>
      </c>
      <c r="B16">
        <v>789</v>
      </c>
      <c r="C16">
        <v>5</v>
      </c>
      <c r="D16">
        <v>1981</v>
      </c>
      <c r="E16">
        <v>7.76</v>
      </c>
      <c r="H16" s="2">
        <v>6</v>
      </c>
      <c r="I16" s="48"/>
    </row>
    <row r="17" spans="1:9" x14ac:dyDescent="0.3">
      <c r="A17" t="s">
        <v>47</v>
      </c>
      <c r="B17">
        <v>789</v>
      </c>
      <c r="C17">
        <v>5</v>
      </c>
      <c r="D17">
        <v>1981</v>
      </c>
      <c r="E17">
        <v>9.9</v>
      </c>
      <c r="H17" s="20">
        <v>531</v>
      </c>
      <c r="I17" s="48">
        <v>91.92</v>
      </c>
    </row>
    <row r="18" spans="1:9" x14ac:dyDescent="0.3">
      <c r="A18" t="s">
        <v>48</v>
      </c>
      <c r="B18">
        <v>789</v>
      </c>
      <c r="C18">
        <v>5</v>
      </c>
      <c r="D18">
        <v>1981</v>
      </c>
      <c r="E18">
        <v>82.79</v>
      </c>
      <c r="H18" s="2">
        <v>7</v>
      </c>
      <c r="I18" s="48"/>
    </row>
    <row r="19" spans="1:9" x14ac:dyDescent="0.3">
      <c r="A19" t="s">
        <v>46</v>
      </c>
      <c r="B19">
        <v>531</v>
      </c>
      <c r="C19">
        <v>6</v>
      </c>
      <c r="D19">
        <v>1549</v>
      </c>
      <c r="E19">
        <v>4.24</v>
      </c>
      <c r="H19" s="20">
        <v>739</v>
      </c>
      <c r="I19" s="48">
        <v>40</v>
      </c>
    </row>
    <row r="20" spans="1:9" x14ac:dyDescent="0.3">
      <c r="A20" t="s">
        <v>47</v>
      </c>
      <c r="B20">
        <v>531</v>
      </c>
      <c r="C20">
        <v>6</v>
      </c>
      <c r="D20">
        <v>1549</v>
      </c>
      <c r="E20">
        <v>4</v>
      </c>
      <c r="H20" s="2">
        <v>8</v>
      </c>
      <c r="I20" s="48"/>
    </row>
    <row r="21" spans="1:9" x14ac:dyDescent="0.3">
      <c r="A21" t="s">
        <v>48</v>
      </c>
      <c r="B21">
        <v>531</v>
      </c>
      <c r="C21">
        <v>6</v>
      </c>
      <c r="D21">
        <v>1549</v>
      </c>
      <c r="E21">
        <v>91.92</v>
      </c>
      <c r="H21" s="20">
        <v>4</v>
      </c>
      <c r="I21" s="48">
        <v>51.77</v>
      </c>
    </row>
    <row r="22" spans="1:9" x14ac:dyDescent="0.3">
      <c r="A22" t="s">
        <v>46</v>
      </c>
      <c r="B22">
        <v>739</v>
      </c>
      <c r="C22">
        <v>7</v>
      </c>
      <c r="D22">
        <v>1061</v>
      </c>
      <c r="E22">
        <v>6.14</v>
      </c>
      <c r="H22" s="2">
        <v>9</v>
      </c>
      <c r="I22" s="48"/>
    </row>
    <row r="23" spans="1:9" x14ac:dyDescent="0.3">
      <c r="A23" t="s">
        <v>47</v>
      </c>
      <c r="B23">
        <v>739</v>
      </c>
      <c r="C23">
        <v>7</v>
      </c>
      <c r="D23">
        <v>1061</v>
      </c>
      <c r="E23">
        <v>50</v>
      </c>
      <c r="H23" s="20">
        <v>1468</v>
      </c>
      <c r="I23" s="48">
        <v>27.38</v>
      </c>
    </row>
    <row r="24" spans="1:9" x14ac:dyDescent="0.3">
      <c r="A24" t="s">
        <v>48</v>
      </c>
      <c r="B24">
        <v>739</v>
      </c>
      <c r="C24">
        <v>7</v>
      </c>
      <c r="D24">
        <v>1061</v>
      </c>
      <c r="E24">
        <v>40</v>
      </c>
      <c r="H24" s="2">
        <v>10</v>
      </c>
      <c r="I24" s="48"/>
    </row>
    <row r="25" spans="1:9" x14ac:dyDescent="0.3">
      <c r="A25" t="s">
        <v>46</v>
      </c>
      <c r="B25">
        <v>4</v>
      </c>
      <c r="C25">
        <v>8</v>
      </c>
      <c r="D25">
        <v>886</v>
      </c>
      <c r="E25">
        <v>14.47</v>
      </c>
      <c r="H25" s="20">
        <v>995</v>
      </c>
      <c r="I25" s="48">
        <v>27.16</v>
      </c>
    </row>
    <row r="26" spans="1:9" x14ac:dyDescent="0.3">
      <c r="A26" t="s">
        <v>47</v>
      </c>
      <c r="B26">
        <v>4</v>
      </c>
      <c r="C26">
        <v>8</v>
      </c>
      <c r="D26">
        <v>886</v>
      </c>
      <c r="E26">
        <v>33.04</v>
      </c>
      <c r="H26" s="2">
        <v>11</v>
      </c>
      <c r="I26" s="48"/>
    </row>
    <row r="27" spans="1:9" x14ac:dyDescent="0.3">
      <c r="A27" t="s">
        <v>48</v>
      </c>
      <c r="B27">
        <v>4</v>
      </c>
      <c r="C27">
        <v>8</v>
      </c>
      <c r="D27">
        <v>886</v>
      </c>
      <c r="E27">
        <v>51.77</v>
      </c>
      <c r="H27" s="20">
        <v>1501</v>
      </c>
      <c r="I27" s="48">
        <v>68.180000000000007</v>
      </c>
    </row>
    <row r="28" spans="1:9" x14ac:dyDescent="0.3">
      <c r="A28" t="s">
        <v>46</v>
      </c>
      <c r="B28">
        <v>1468</v>
      </c>
      <c r="C28">
        <v>9</v>
      </c>
      <c r="D28">
        <v>591</v>
      </c>
      <c r="E28">
        <v>12.58</v>
      </c>
      <c r="H28" s="2">
        <v>12</v>
      </c>
      <c r="I28" s="48"/>
    </row>
    <row r="29" spans="1:9" x14ac:dyDescent="0.3">
      <c r="A29" t="s">
        <v>47</v>
      </c>
      <c r="B29">
        <v>1468</v>
      </c>
      <c r="C29">
        <v>9</v>
      </c>
      <c r="D29">
        <v>591</v>
      </c>
      <c r="E29">
        <v>58.33</v>
      </c>
      <c r="H29" s="20">
        <v>1236</v>
      </c>
      <c r="I29" s="48">
        <v>27.27</v>
      </c>
    </row>
    <row r="30" spans="1:9" x14ac:dyDescent="0.3">
      <c r="A30" t="s">
        <v>48</v>
      </c>
      <c r="B30">
        <v>1468</v>
      </c>
      <c r="C30">
        <v>9</v>
      </c>
      <c r="D30">
        <v>591</v>
      </c>
      <c r="E30">
        <v>27.38</v>
      </c>
      <c r="H30" s="2">
        <v>13</v>
      </c>
      <c r="I30" s="48"/>
    </row>
    <row r="31" spans="1:9" x14ac:dyDescent="0.3">
      <c r="A31" t="s">
        <v>46</v>
      </c>
      <c r="B31">
        <v>995</v>
      </c>
      <c r="C31">
        <v>10</v>
      </c>
      <c r="D31">
        <v>504</v>
      </c>
      <c r="E31">
        <v>35.630000000000003</v>
      </c>
      <c r="H31" s="20">
        <v>968</v>
      </c>
      <c r="I31" s="48">
        <v>69.150000000000006</v>
      </c>
    </row>
    <row r="32" spans="1:9" x14ac:dyDescent="0.3">
      <c r="A32" t="s">
        <v>47</v>
      </c>
      <c r="B32">
        <v>995</v>
      </c>
      <c r="C32">
        <v>10</v>
      </c>
      <c r="D32">
        <v>504</v>
      </c>
      <c r="E32">
        <v>28.57</v>
      </c>
      <c r="H32" s="2">
        <v>14</v>
      </c>
      <c r="I32" s="48"/>
    </row>
    <row r="33" spans="1:9" x14ac:dyDescent="0.3">
      <c r="A33" t="s">
        <v>48</v>
      </c>
      <c r="B33">
        <v>995</v>
      </c>
      <c r="C33">
        <v>10</v>
      </c>
      <c r="D33">
        <v>504</v>
      </c>
      <c r="E33">
        <v>27.16</v>
      </c>
      <c r="H33" s="20">
        <v>166</v>
      </c>
      <c r="I33" s="48">
        <v>60</v>
      </c>
    </row>
    <row r="34" spans="1:9" x14ac:dyDescent="0.3">
      <c r="A34" t="s">
        <v>46</v>
      </c>
      <c r="B34">
        <v>1501</v>
      </c>
      <c r="C34">
        <v>11</v>
      </c>
      <c r="D34">
        <v>458</v>
      </c>
      <c r="E34">
        <v>10</v>
      </c>
      <c r="H34" s="2">
        <v>15</v>
      </c>
      <c r="I34" s="48"/>
    </row>
    <row r="35" spans="1:9" x14ac:dyDescent="0.3">
      <c r="A35" t="s">
        <v>47</v>
      </c>
      <c r="B35">
        <v>1501</v>
      </c>
      <c r="C35">
        <v>11</v>
      </c>
      <c r="D35">
        <v>458</v>
      </c>
      <c r="E35">
        <v>19.510000000000002</v>
      </c>
      <c r="H35" s="20">
        <v>921</v>
      </c>
      <c r="I35" s="48">
        <v>59.04</v>
      </c>
    </row>
    <row r="36" spans="1:9" x14ac:dyDescent="0.3">
      <c r="A36" t="s">
        <v>48</v>
      </c>
      <c r="B36">
        <v>1501</v>
      </c>
      <c r="C36">
        <v>11</v>
      </c>
      <c r="D36">
        <v>458</v>
      </c>
      <c r="E36">
        <v>68.180000000000007</v>
      </c>
    </row>
    <row r="37" spans="1:9" x14ac:dyDescent="0.3">
      <c r="A37" t="s">
        <v>46</v>
      </c>
      <c r="B37">
        <v>1236</v>
      </c>
      <c r="C37">
        <v>12</v>
      </c>
      <c r="D37">
        <v>455</v>
      </c>
      <c r="E37">
        <v>4.76</v>
      </c>
    </row>
    <row r="38" spans="1:9" x14ac:dyDescent="0.3">
      <c r="A38" t="s">
        <v>47</v>
      </c>
      <c r="B38">
        <v>1236</v>
      </c>
      <c r="C38">
        <v>12</v>
      </c>
      <c r="D38">
        <v>455</v>
      </c>
      <c r="E38">
        <v>67.53</v>
      </c>
    </row>
    <row r="39" spans="1:9" x14ac:dyDescent="0.3">
      <c r="A39" t="s">
        <v>48</v>
      </c>
      <c r="B39">
        <v>1236</v>
      </c>
      <c r="C39">
        <v>12</v>
      </c>
      <c r="D39">
        <v>455</v>
      </c>
      <c r="E39">
        <v>27.27</v>
      </c>
    </row>
    <row r="40" spans="1:9" x14ac:dyDescent="0.3">
      <c r="A40" t="s">
        <v>46</v>
      </c>
      <c r="B40">
        <v>968</v>
      </c>
      <c r="C40">
        <v>13</v>
      </c>
      <c r="D40">
        <v>426</v>
      </c>
      <c r="E40">
        <v>4.2</v>
      </c>
    </row>
    <row r="41" spans="1:9" x14ac:dyDescent="0.3">
      <c r="A41" t="s">
        <v>47</v>
      </c>
      <c r="B41">
        <v>968</v>
      </c>
      <c r="C41">
        <v>13</v>
      </c>
      <c r="D41">
        <v>426</v>
      </c>
      <c r="E41">
        <v>28.88</v>
      </c>
    </row>
    <row r="42" spans="1:9" x14ac:dyDescent="0.3">
      <c r="A42" t="s">
        <v>48</v>
      </c>
      <c r="B42">
        <v>968</v>
      </c>
      <c r="C42">
        <v>13</v>
      </c>
      <c r="D42">
        <v>426</v>
      </c>
      <c r="E42">
        <v>69.150000000000006</v>
      </c>
    </row>
    <row r="43" spans="1:9" x14ac:dyDescent="0.3">
      <c r="A43" t="s">
        <v>46</v>
      </c>
      <c r="B43">
        <v>166</v>
      </c>
      <c r="C43">
        <v>14</v>
      </c>
      <c r="D43">
        <v>419</v>
      </c>
      <c r="E43">
        <v>15.91</v>
      </c>
    </row>
    <row r="44" spans="1:9" x14ac:dyDescent="0.3">
      <c r="A44" t="s">
        <v>47</v>
      </c>
      <c r="B44">
        <v>166</v>
      </c>
      <c r="C44">
        <v>14</v>
      </c>
      <c r="D44">
        <v>419</v>
      </c>
      <c r="E44">
        <v>24.21</v>
      </c>
    </row>
    <row r="45" spans="1:9" x14ac:dyDescent="0.3">
      <c r="A45" t="s">
        <v>48</v>
      </c>
      <c r="B45">
        <v>166</v>
      </c>
      <c r="C45">
        <v>14</v>
      </c>
      <c r="D45">
        <v>419</v>
      </c>
      <c r="E45">
        <v>60</v>
      </c>
    </row>
    <row r="46" spans="1:9" x14ac:dyDescent="0.3">
      <c r="A46" t="s">
        <v>46</v>
      </c>
      <c r="B46">
        <v>921</v>
      </c>
      <c r="C46">
        <v>15</v>
      </c>
      <c r="D46">
        <v>406</v>
      </c>
      <c r="E46">
        <v>16.87</v>
      </c>
    </row>
    <row r="47" spans="1:9" x14ac:dyDescent="0.3">
      <c r="A47" t="s">
        <v>47</v>
      </c>
      <c r="B47">
        <v>921</v>
      </c>
      <c r="C47">
        <v>15</v>
      </c>
      <c r="D47">
        <v>406</v>
      </c>
      <c r="E47">
        <v>24.44</v>
      </c>
    </row>
    <row r="48" spans="1:9" x14ac:dyDescent="0.3">
      <c r="A48" t="s">
        <v>48</v>
      </c>
      <c r="B48">
        <v>921</v>
      </c>
      <c r="C48">
        <v>15</v>
      </c>
      <c r="D48">
        <v>406</v>
      </c>
      <c r="E48">
        <v>59.04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0453-384C-4519-BC30-E8BC32E092FD}">
  <sheetPr>
    <tabColor theme="4"/>
  </sheetPr>
  <dimension ref="B2:Y20"/>
  <sheetViews>
    <sheetView showGridLines="0" zoomScale="70" zoomScaleNormal="70" workbookViewId="0">
      <selection activeCell="B2" sqref="B2"/>
    </sheetView>
  </sheetViews>
  <sheetFormatPr defaultRowHeight="14.4" x14ac:dyDescent="0.3"/>
  <cols>
    <col min="24" max="24" width="35.33203125" bestFit="1" customWidth="1"/>
    <col min="25" max="25" width="12.33203125" bestFit="1" customWidth="1"/>
  </cols>
  <sheetData>
    <row r="2" spans="2:25" ht="18" x14ac:dyDescent="0.35">
      <c r="B2" s="75" t="s">
        <v>205</v>
      </c>
    </row>
    <row r="3" spans="2:25" ht="15.6" x14ac:dyDescent="0.3">
      <c r="B3" s="84" t="s">
        <v>215</v>
      </c>
    </row>
    <row r="4" spans="2:25" ht="15.6" x14ac:dyDescent="0.3">
      <c r="B4" s="84" t="s">
        <v>216</v>
      </c>
    </row>
    <row r="6" spans="2:25" x14ac:dyDescent="0.3">
      <c r="X6" s="67" t="s">
        <v>165</v>
      </c>
      <c r="Y6" s="50" t="s">
        <v>151</v>
      </c>
    </row>
    <row r="7" spans="2:25" x14ac:dyDescent="0.3">
      <c r="X7" s="68" t="s">
        <v>69</v>
      </c>
      <c r="Y7" s="66">
        <v>57.190000000000005</v>
      </c>
    </row>
    <row r="8" spans="2:25" x14ac:dyDescent="0.3">
      <c r="X8" s="69" t="s">
        <v>167</v>
      </c>
      <c r="Y8" s="3">
        <v>29.25</v>
      </c>
    </row>
    <row r="9" spans="2:25" x14ac:dyDescent="0.3">
      <c r="X9" s="69" t="s">
        <v>168</v>
      </c>
      <c r="Y9" s="3">
        <v>12</v>
      </c>
    </row>
    <row r="10" spans="2:25" x14ac:dyDescent="0.3">
      <c r="X10" s="69" t="s">
        <v>170</v>
      </c>
      <c r="Y10" s="3">
        <v>9.7200000000000006</v>
      </c>
    </row>
    <row r="11" spans="2:25" x14ac:dyDescent="0.3">
      <c r="X11" s="69" t="s">
        <v>169</v>
      </c>
      <c r="Y11" s="3">
        <v>4.84</v>
      </c>
    </row>
    <row r="12" spans="2:25" x14ac:dyDescent="0.3">
      <c r="X12" s="69" t="s">
        <v>171</v>
      </c>
      <c r="Y12" s="3">
        <v>1.38</v>
      </c>
    </row>
    <row r="13" spans="2:25" x14ac:dyDescent="0.3">
      <c r="X13" s="68" t="s">
        <v>72</v>
      </c>
      <c r="Y13" s="66">
        <v>11.17</v>
      </c>
    </row>
    <row r="14" spans="2:25" x14ac:dyDescent="0.3">
      <c r="X14" s="69" t="s">
        <v>172</v>
      </c>
      <c r="Y14" s="3">
        <v>11.17</v>
      </c>
    </row>
    <row r="15" spans="2:25" x14ac:dyDescent="0.3">
      <c r="X15" s="68" t="s">
        <v>75</v>
      </c>
      <c r="Y15" s="66">
        <v>4.91</v>
      </c>
    </row>
    <row r="16" spans="2:25" x14ac:dyDescent="0.3">
      <c r="X16" s="69" t="s">
        <v>173</v>
      </c>
      <c r="Y16" s="3">
        <v>4.91</v>
      </c>
    </row>
    <row r="17" spans="24:25" x14ac:dyDescent="0.3">
      <c r="X17" s="68" t="s">
        <v>78</v>
      </c>
      <c r="Y17" s="66">
        <v>7.01</v>
      </c>
    </row>
    <row r="18" spans="24:25" x14ac:dyDescent="0.3">
      <c r="X18" s="69" t="s">
        <v>174</v>
      </c>
      <c r="Y18" s="3">
        <v>4.57</v>
      </c>
    </row>
    <row r="19" spans="24:25" x14ac:dyDescent="0.3">
      <c r="X19" s="69" t="s">
        <v>176</v>
      </c>
      <c r="Y19" s="3">
        <v>1.26</v>
      </c>
    </row>
    <row r="20" spans="24:25" x14ac:dyDescent="0.3">
      <c r="X20" s="69" t="s">
        <v>175</v>
      </c>
      <c r="Y20" s="3">
        <v>1.18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BDED-50A5-48CF-BB50-36B20B7AFA1D}">
  <dimension ref="A1:AG57"/>
  <sheetViews>
    <sheetView zoomScale="55" zoomScaleNormal="55" workbookViewId="0">
      <selection activeCell="AB4" sqref="AB4:AC18"/>
    </sheetView>
  </sheetViews>
  <sheetFormatPr defaultRowHeight="14.4" x14ac:dyDescent="0.3"/>
  <cols>
    <col min="1" max="1" width="17.88671875" customWidth="1"/>
    <col min="2" max="2" width="17.6640625" customWidth="1"/>
    <col min="3" max="3" width="13.109375" customWidth="1"/>
    <col min="4" max="4" width="13.44140625" customWidth="1"/>
    <col min="5" max="6" width="15.109375" customWidth="1"/>
    <col min="7" max="7" width="19.21875" customWidth="1"/>
    <col min="10" max="10" width="13.88671875" bestFit="1" customWidth="1"/>
    <col min="11" max="11" width="11.6640625" bestFit="1" customWidth="1"/>
    <col min="12" max="12" width="12.33203125" bestFit="1" customWidth="1"/>
    <col min="13" max="14" width="12.33203125" customWidth="1"/>
    <col min="28" max="28" width="32.33203125" bestFit="1" customWidth="1"/>
    <col min="29" max="29" width="12.6640625" style="3" bestFit="1" customWidth="1"/>
  </cols>
  <sheetData>
    <row r="1" spans="1:29" ht="18" x14ac:dyDescent="0.35">
      <c r="A1" s="74" t="s">
        <v>178</v>
      </c>
      <c r="J1" s="74" t="s">
        <v>179</v>
      </c>
      <c r="K1" s="75"/>
      <c r="L1" s="75"/>
      <c r="M1" s="75"/>
      <c r="N1" s="75"/>
      <c r="P1" s="74" t="s">
        <v>181</v>
      </c>
      <c r="AB1" s="74"/>
      <c r="AC1"/>
    </row>
    <row r="2" spans="1:29" x14ac:dyDescent="0.3">
      <c r="A2" t="s">
        <v>189</v>
      </c>
    </row>
    <row r="3" spans="1:29" x14ac:dyDescent="0.3">
      <c r="A3" t="s">
        <v>65</v>
      </c>
      <c r="B3" t="s">
        <v>67</v>
      </c>
      <c r="C3" t="s">
        <v>83</v>
      </c>
      <c r="D3" t="s">
        <v>84</v>
      </c>
      <c r="E3" t="s">
        <v>85</v>
      </c>
      <c r="F3" t="s">
        <v>86</v>
      </c>
      <c r="G3" t="s">
        <v>66</v>
      </c>
    </row>
    <row r="4" spans="1:29" x14ac:dyDescent="0.3">
      <c r="A4">
        <v>92</v>
      </c>
      <c r="B4" t="s">
        <v>69</v>
      </c>
      <c r="C4">
        <v>15803</v>
      </c>
      <c r="D4">
        <v>12270</v>
      </c>
      <c r="E4">
        <v>77.64</v>
      </c>
      <c r="F4">
        <v>29.25</v>
      </c>
      <c r="G4">
        <v>1</v>
      </c>
      <c r="J4" s="1" t="s">
        <v>192</v>
      </c>
      <c r="K4" t="s">
        <v>164</v>
      </c>
      <c r="L4" t="s">
        <v>151</v>
      </c>
      <c r="AB4" s="67" t="s">
        <v>165</v>
      </c>
      <c r="AC4" s="50" t="s">
        <v>151</v>
      </c>
    </row>
    <row r="5" spans="1:29" x14ac:dyDescent="0.3">
      <c r="A5">
        <v>93</v>
      </c>
      <c r="B5" t="s">
        <v>69</v>
      </c>
      <c r="C5">
        <v>6828</v>
      </c>
      <c r="D5">
        <v>5033</v>
      </c>
      <c r="E5">
        <v>73.709999999999994</v>
      </c>
      <c r="F5">
        <v>12</v>
      </c>
      <c r="G5">
        <v>2</v>
      </c>
      <c r="J5" s="2">
        <v>1</v>
      </c>
      <c r="AB5" s="68" t="s">
        <v>69</v>
      </c>
      <c r="AC5" s="66">
        <v>57.190000000000005</v>
      </c>
    </row>
    <row r="6" spans="1:29" x14ac:dyDescent="0.3">
      <c r="A6">
        <v>112</v>
      </c>
      <c r="B6" t="s">
        <v>72</v>
      </c>
      <c r="C6">
        <v>25882</v>
      </c>
      <c r="D6">
        <v>4685</v>
      </c>
      <c r="E6">
        <v>18.100000000000001</v>
      </c>
      <c r="F6">
        <v>11.17</v>
      </c>
      <c r="G6">
        <v>3</v>
      </c>
      <c r="J6" s="20">
        <v>92</v>
      </c>
      <c r="K6">
        <v>12270</v>
      </c>
      <c r="L6">
        <v>29.25</v>
      </c>
      <c r="AB6" s="69" t="s">
        <v>167</v>
      </c>
      <c r="AC6" s="3">
        <v>29.25</v>
      </c>
    </row>
    <row r="7" spans="1:29" x14ac:dyDescent="0.3">
      <c r="A7">
        <v>97</v>
      </c>
      <c r="B7" t="s">
        <v>69</v>
      </c>
      <c r="C7">
        <v>5616</v>
      </c>
      <c r="D7">
        <v>4077</v>
      </c>
      <c r="E7">
        <v>72.599999999999994</v>
      </c>
      <c r="F7">
        <v>9.7200000000000006</v>
      </c>
      <c r="G7">
        <v>4</v>
      </c>
      <c r="J7" s="2">
        <v>2</v>
      </c>
      <c r="AB7" s="69" t="s">
        <v>168</v>
      </c>
      <c r="AC7" s="3">
        <v>12</v>
      </c>
    </row>
    <row r="8" spans="1:29" x14ac:dyDescent="0.3">
      <c r="A8">
        <v>134</v>
      </c>
      <c r="B8" t="s">
        <v>75</v>
      </c>
      <c r="C8">
        <v>7255</v>
      </c>
      <c r="D8">
        <v>2058</v>
      </c>
      <c r="E8">
        <v>28.37</v>
      </c>
      <c r="F8">
        <v>4.91</v>
      </c>
      <c r="G8">
        <v>5</v>
      </c>
      <c r="J8" s="20">
        <v>93</v>
      </c>
      <c r="K8">
        <v>5033</v>
      </c>
      <c r="L8">
        <v>12</v>
      </c>
      <c r="AB8" s="69" t="s">
        <v>170</v>
      </c>
      <c r="AC8" s="3">
        <v>9.7200000000000006</v>
      </c>
    </row>
    <row r="9" spans="1:29" x14ac:dyDescent="0.3">
      <c r="A9">
        <v>94</v>
      </c>
      <c r="B9" t="s">
        <v>69</v>
      </c>
      <c r="C9">
        <v>2479</v>
      </c>
      <c r="D9">
        <v>2030</v>
      </c>
      <c r="E9">
        <v>81.89</v>
      </c>
      <c r="F9">
        <v>4.84</v>
      </c>
      <c r="G9">
        <v>6</v>
      </c>
      <c r="J9" s="2">
        <v>3</v>
      </c>
      <c r="AB9" s="69" t="s">
        <v>169</v>
      </c>
      <c r="AC9" s="3">
        <v>4.84</v>
      </c>
    </row>
    <row r="10" spans="1:29" x14ac:dyDescent="0.3">
      <c r="A10">
        <v>29</v>
      </c>
      <c r="B10" t="s">
        <v>78</v>
      </c>
      <c r="C10">
        <v>2395</v>
      </c>
      <c r="D10">
        <v>1916</v>
      </c>
      <c r="E10">
        <v>80</v>
      </c>
      <c r="F10">
        <v>4.57</v>
      </c>
      <c r="G10">
        <v>7</v>
      </c>
      <c r="J10" s="20">
        <v>112</v>
      </c>
      <c r="K10">
        <v>4685</v>
      </c>
      <c r="L10">
        <v>11.17</v>
      </c>
      <c r="AB10" s="69" t="s">
        <v>171</v>
      </c>
      <c r="AC10" s="3">
        <v>1.38</v>
      </c>
    </row>
    <row r="11" spans="1:29" x14ac:dyDescent="0.3">
      <c r="A11">
        <v>230</v>
      </c>
      <c r="B11" t="s">
        <v>69</v>
      </c>
      <c r="C11">
        <v>778</v>
      </c>
      <c r="D11">
        <v>578</v>
      </c>
      <c r="E11">
        <v>74.290000000000006</v>
      </c>
      <c r="F11">
        <v>1.38</v>
      </c>
      <c r="G11">
        <v>8</v>
      </c>
      <c r="J11" s="2">
        <v>4</v>
      </c>
      <c r="AB11" s="68" t="s">
        <v>72</v>
      </c>
      <c r="AC11" s="66">
        <v>11.17</v>
      </c>
    </row>
    <row r="12" spans="1:29" x14ac:dyDescent="0.3">
      <c r="A12">
        <v>35</v>
      </c>
      <c r="B12" t="s">
        <v>78</v>
      </c>
      <c r="C12">
        <v>847</v>
      </c>
      <c r="D12">
        <v>528</v>
      </c>
      <c r="E12">
        <v>62.34</v>
      </c>
      <c r="F12">
        <v>1.26</v>
      </c>
      <c r="G12">
        <v>9</v>
      </c>
      <c r="J12" s="20">
        <v>97</v>
      </c>
      <c r="K12">
        <v>4077</v>
      </c>
      <c r="L12">
        <v>9.7200000000000006</v>
      </c>
      <c r="AB12" s="69" t="s">
        <v>172</v>
      </c>
      <c r="AC12" s="3">
        <v>11.17</v>
      </c>
    </row>
    <row r="13" spans="1:29" x14ac:dyDescent="0.3">
      <c r="A13">
        <v>34</v>
      </c>
      <c r="B13" t="s">
        <v>78</v>
      </c>
      <c r="C13">
        <v>658</v>
      </c>
      <c r="D13">
        <v>494</v>
      </c>
      <c r="E13">
        <v>75.08</v>
      </c>
      <c r="F13">
        <v>1.18</v>
      </c>
      <c r="G13">
        <v>10</v>
      </c>
      <c r="J13" s="2">
        <v>5</v>
      </c>
      <c r="AB13" s="68" t="s">
        <v>75</v>
      </c>
      <c r="AC13" s="66">
        <v>4.91</v>
      </c>
    </row>
    <row r="14" spans="1:29" x14ac:dyDescent="0.3">
      <c r="A14">
        <v>63</v>
      </c>
      <c r="B14" t="s">
        <v>89</v>
      </c>
      <c r="C14">
        <v>579</v>
      </c>
      <c r="D14">
        <v>463</v>
      </c>
      <c r="E14">
        <v>79.97</v>
      </c>
      <c r="F14">
        <v>1.1000000000000001</v>
      </c>
      <c r="G14">
        <v>11</v>
      </c>
      <c r="J14" s="20">
        <v>134</v>
      </c>
      <c r="K14">
        <v>2058</v>
      </c>
      <c r="L14">
        <v>4.91</v>
      </c>
      <c r="AB14" s="69" t="s">
        <v>173</v>
      </c>
      <c r="AC14" s="3">
        <v>4.91</v>
      </c>
    </row>
    <row r="15" spans="1:29" x14ac:dyDescent="0.3">
      <c r="A15">
        <v>21</v>
      </c>
      <c r="B15" t="s">
        <v>90</v>
      </c>
      <c r="C15">
        <v>668</v>
      </c>
      <c r="D15">
        <v>420</v>
      </c>
      <c r="E15">
        <v>62.87</v>
      </c>
      <c r="F15">
        <v>1</v>
      </c>
      <c r="G15">
        <v>12</v>
      </c>
      <c r="J15" s="2">
        <v>6</v>
      </c>
      <c r="AB15" s="68" t="s">
        <v>78</v>
      </c>
      <c r="AC15" s="66">
        <v>7.01</v>
      </c>
    </row>
    <row r="16" spans="1:29" x14ac:dyDescent="0.3">
      <c r="A16">
        <v>123</v>
      </c>
      <c r="B16" t="s">
        <v>91</v>
      </c>
      <c r="C16">
        <v>413</v>
      </c>
      <c r="D16">
        <v>331</v>
      </c>
      <c r="E16">
        <v>80.150000000000006</v>
      </c>
      <c r="F16">
        <v>0.79</v>
      </c>
      <c r="G16">
        <v>13</v>
      </c>
      <c r="J16" s="20">
        <v>94</v>
      </c>
      <c r="K16">
        <v>2030</v>
      </c>
      <c r="L16">
        <v>4.84</v>
      </c>
      <c r="AB16" s="69" t="s">
        <v>174</v>
      </c>
      <c r="AC16" s="3">
        <v>4.57</v>
      </c>
    </row>
    <row r="17" spans="1:33" x14ac:dyDescent="0.3">
      <c r="A17">
        <v>96</v>
      </c>
      <c r="B17" t="s">
        <v>69</v>
      </c>
      <c r="C17">
        <v>480</v>
      </c>
      <c r="D17">
        <v>324</v>
      </c>
      <c r="E17">
        <v>67.5</v>
      </c>
      <c r="F17">
        <v>0.77</v>
      </c>
      <c r="G17">
        <v>14</v>
      </c>
      <c r="J17" s="2">
        <v>7</v>
      </c>
      <c r="AB17" s="69" t="s">
        <v>176</v>
      </c>
      <c r="AC17" s="3">
        <v>1.26</v>
      </c>
      <c r="AG17" s="3"/>
    </row>
    <row r="18" spans="1:33" x14ac:dyDescent="0.3">
      <c r="A18">
        <v>27</v>
      </c>
      <c r="B18" t="s">
        <v>78</v>
      </c>
      <c r="C18">
        <v>356</v>
      </c>
      <c r="D18">
        <v>305</v>
      </c>
      <c r="E18">
        <v>85.67</v>
      </c>
      <c r="F18">
        <v>0.73</v>
      </c>
      <c r="G18">
        <v>15</v>
      </c>
      <c r="J18" s="20">
        <v>29</v>
      </c>
      <c r="K18">
        <v>1916</v>
      </c>
      <c r="L18">
        <v>4.57</v>
      </c>
      <c r="AB18" s="69" t="s">
        <v>175</v>
      </c>
      <c r="AC18" s="3">
        <v>1.18</v>
      </c>
    </row>
    <row r="19" spans="1:33" x14ac:dyDescent="0.3">
      <c r="A19">
        <v>119</v>
      </c>
      <c r="B19" t="s">
        <v>92</v>
      </c>
      <c r="C19">
        <v>357</v>
      </c>
      <c r="D19">
        <v>295</v>
      </c>
      <c r="E19">
        <v>82.63</v>
      </c>
      <c r="F19">
        <v>0.7</v>
      </c>
      <c r="G19">
        <v>16</v>
      </c>
      <c r="J19" s="2">
        <v>8</v>
      </c>
      <c r="AC19"/>
    </row>
    <row r="20" spans="1:33" x14ac:dyDescent="0.3">
      <c r="A20">
        <v>62</v>
      </c>
      <c r="B20" t="s">
        <v>89</v>
      </c>
      <c r="C20">
        <v>353</v>
      </c>
      <c r="D20">
        <v>282</v>
      </c>
      <c r="E20">
        <v>79.89</v>
      </c>
      <c r="F20">
        <v>0.67</v>
      </c>
      <c r="G20">
        <v>17</v>
      </c>
      <c r="J20" s="20">
        <v>230</v>
      </c>
      <c r="K20">
        <v>578</v>
      </c>
      <c r="L20">
        <v>1.38</v>
      </c>
      <c r="AC20"/>
    </row>
    <row r="21" spans="1:33" x14ac:dyDescent="0.3">
      <c r="A21">
        <v>24</v>
      </c>
      <c r="B21" t="s">
        <v>78</v>
      </c>
      <c r="C21">
        <v>311</v>
      </c>
      <c r="D21">
        <v>278</v>
      </c>
      <c r="E21">
        <v>89.39</v>
      </c>
      <c r="F21">
        <v>0.66</v>
      </c>
      <c r="G21">
        <v>18</v>
      </c>
      <c r="J21" s="2">
        <v>9</v>
      </c>
      <c r="AC21"/>
    </row>
    <row r="22" spans="1:33" x14ac:dyDescent="0.3">
      <c r="A22">
        <v>239</v>
      </c>
      <c r="B22" t="s">
        <v>72</v>
      </c>
      <c r="C22">
        <v>1222</v>
      </c>
      <c r="D22">
        <v>270</v>
      </c>
      <c r="E22">
        <v>22.09</v>
      </c>
      <c r="F22">
        <v>0.64</v>
      </c>
      <c r="G22">
        <v>19</v>
      </c>
      <c r="J22" s="20">
        <v>35</v>
      </c>
      <c r="K22">
        <v>528</v>
      </c>
      <c r="L22">
        <v>1.26</v>
      </c>
      <c r="AC22"/>
    </row>
    <row r="23" spans="1:33" x14ac:dyDescent="0.3">
      <c r="A23">
        <v>231</v>
      </c>
      <c r="B23" t="s">
        <v>69</v>
      </c>
      <c r="C23">
        <v>262</v>
      </c>
      <c r="D23">
        <v>236</v>
      </c>
      <c r="E23">
        <v>90.08</v>
      </c>
      <c r="F23">
        <v>0.56000000000000005</v>
      </c>
      <c r="G23">
        <v>20</v>
      </c>
      <c r="J23" s="2">
        <v>10</v>
      </c>
      <c r="AC23"/>
    </row>
    <row r="24" spans="1:33" x14ac:dyDescent="0.3">
      <c r="A24">
        <v>28</v>
      </c>
      <c r="B24" t="s">
        <v>78</v>
      </c>
      <c r="C24">
        <v>320</v>
      </c>
      <c r="D24">
        <v>230</v>
      </c>
      <c r="E24">
        <v>71.88</v>
      </c>
      <c r="F24">
        <v>0.55000000000000004</v>
      </c>
      <c r="G24">
        <v>21</v>
      </c>
      <c r="J24" s="20">
        <v>34</v>
      </c>
      <c r="K24">
        <v>494</v>
      </c>
      <c r="L24">
        <v>1.18</v>
      </c>
      <c r="AC24"/>
    </row>
    <row r="25" spans="1:33" x14ac:dyDescent="0.3">
      <c r="A25">
        <v>102</v>
      </c>
      <c r="B25" t="s">
        <v>93</v>
      </c>
      <c r="C25">
        <v>379</v>
      </c>
      <c r="D25">
        <v>217</v>
      </c>
      <c r="E25">
        <v>57.26</v>
      </c>
      <c r="F25">
        <v>0.52</v>
      </c>
      <c r="G25">
        <v>22</v>
      </c>
      <c r="AC25"/>
    </row>
    <row r="26" spans="1:33" x14ac:dyDescent="0.3">
      <c r="A26">
        <v>77</v>
      </c>
      <c r="B26" t="s">
        <v>94</v>
      </c>
      <c r="C26">
        <v>446</v>
      </c>
      <c r="D26">
        <v>188</v>
      </c>
      <c r="E26">
        <v>42.15</v>
      </c>
      <c r="F26">
        <v>0.45</v>
      </c>
      <c r="G26">
        <v>23</v>
      </c>
      <c r="AC26"/>
    </row>
    <row r="27" spans="1:33" x14ac:dyDescent="0.3">
      <c r="A27">
        <v>108</v>
      </c>
      <c r="B27" t="s">
        <v>72</v>
      </c>
      <c r="C27">
        <v>733</v>
      </c>
      <c r="D27">
        <v>182</v>
      </c>
      <c r="E27">
        <v>24.83</v>
      </c>
      <c r="F27">
        <v>0.43</v>
      </c>
      <c r="G27">
        <v>24</v>
      </c>
      <c r="J27" s="1" t="s">
        <v>192</v>
      </c>
      <c r="K27" t="s">
        <v>161</v>
      </c>
      <c r="L27" t="s">
        <v>144</v>
      </c>
      <c r="M27" t="s">
        <v>162</v>
      </c>
      <c r="AC27"/>
    </row>
    <row r="28" spans="1:33" x14ac:dyDescent="0.3">
      <c r="A28">
        <v>132</v>
      </c>
      <c r="B28" t="s">
        <v>95</v>
      </c>
      <c r="C28">
        <v>173</v>
      </c>
      <c r="D28">
        <v>170</v>
      </c>
      <c r="E28">
        <v>98.27</v>
      </c>
      <c r="F28">
        <v>0.41</v>
      </c>
      <c r="G28">
        <v>25</v>
      </c>
      <c r="J28" s="2">
        <v>1</v>
      </c>
      <c r="AC28"/>
    </row>
    <row r="29" spans="1:33" x14ac:dyDescent="0.3">
      <c r="A29">
        <v>65</v>
      </c>
      <c r="B29" t="s">
        <v>89</v>
      </c>
      <c r="C29">
        <v>190</v>
      </c>
      <c r="D29">
        <v>158</v>
      </c>
      <c r="E29">
        <v>83.16</v>
      </c>
      <c r="F29">
        <v>0.38</v>
      </c>
      <c r="G29">
        <v>26</v>
      </c>
      <c r="J29" s="20">
        <v>92</v>
      </c>
      <c r="K29">
        <v>15803</v>
      </c>
      <c r="L29">
        <v>12270</v>
      </c>
      <c r="M29">
        <v>77.64</v>
      </c>
      <c r="AC29"/>
    </row>
    <row r="30" spans="1:33" x14ac:dyDescent="0.3">
      <c r="A30">
        <v>36</v>
      </c>
      <c r="B30" t="s">
        <v>78</v>
      </c>
      <c r="C30">
        <v>236</v>
      </c>
      <c r="D30">
        <v>155</v>
      </c>
      <c r="E30">
        <v>65.680000000000007</v>
      </c>
      <c r="F30">
        <v>0.37</v>
      </c>
      <c r="G30">
        <v>27</v>
      </c>
      <c r="J30" s="2">
        <v>2</v>
      </c>
      <c r="AC30"/>
    </row>
    <row r="31" spans="1:33" x14ac:dyDescent="0.3">
      <c r="A31">
        <v>210</v>
      </c>
      <c r="B31" t="s">
        <v>96</v>
      </c>
      <c r="C31">
        <v>404</v>
      </c>
      <c r="D31">
        <v>156</v>
      </c>
      <c r="E31">
        <v>38.61</v>
      </c>
      <c r="F31">
        <v>0.37</v>
      </c>
      <c r="G31">
        <v>28</v>
      </c>
      <c r="J31" s="20">
        <v>93</v>
      </c>
      <c r="K31">
        <v>6828</v>
      </c>
      <c r="L31">
        <v>5033</v>
      </c>
      <c r="M31">
        <v>73.709999999999994</v>
      </c>
      <c r="AC31"/>
    </row>
    <row r="32" spans="1:33" x14ac:dyDescent="0.3">
      <c r="A32">
        <v>250</v>
      </c>
      <c r="B32" t="s">
        <v>75</v>
      </c>
      <c r="C32">
        <v>213</v>
      </c>
      <c r="D32">
        <v>150</v>
      </c>
      <c r="E32">
        <v>70.42</v>
      </c>
      <c r="F32">
        <v>0.36</v>
      </c>
      <c r="G32">
        <v>29</v>
      </c>
      <c r="J32" s="2">
        <v>3</v>
      </c>
      <c r="AC32"/>
    </row>
    <row r="33" spans="1:29" x14ac:dyDescent="0.3">
      <c r="A33">
        <v>116</v>
      </c>
      <c r="B33" t="s">
        <v>92</v>
      </c>
      <c r="C33">
        <v>254</v>
      </c>
      <c r="D33">
        <v>146</v>
      </c>
      <c r="E33">
        <v>57.48</v>
      </c>
      <c r="F33">
        <v>0.35</v>
      </c>
      <c r="G33">
        <v>30</v>
      </c>
      <c r="J33" s="20">
        <v>112</v>
      </c>
      <c r="K33">
        <v>25882</v>
      </c>
      <c r="L33">
        <v>4685</v>
      </c>
      <c r="M33">
        <v>18.100000000000001</v>
      </c>
      <c r="AC33"/>
    </row>
    <row r="34" spans="1:29" x14ac:dyDescent="0.3">
      <c r="A34">
        <v>211</v>
      </c>
      <c r="B34" t="s">
        <v>96</v>
      </c>
      <c r="C34">
        <v>141</v>
      </c>
      <c r="D34">
        <v>139</v>
      </c>
      <c r="E34">
        <v>98.58</v>
      </c>
      <c r="F34">
        <v>0.33</v>
      </c>
      <c r="G34">
        <v>31</v>
      </c>
      <c r="J34" s="2">
        <v>4</v>
      </c>
      <c r="AC34"/>
    </row>
    <row r="35" spans="1:29" x14ac:dyDescent="0.3">
      <c r="A35">
        <v>100</v>
      </c>
      <c r="B35" t="s">
        <v>69</v>
      </c>
      <c r="C35">
        <v>150</v>
      </c>
      <c r="D35">
        <v>134</v>
      </c>
      <c r="E35">
        <v>89.33</v>
      </c>
      <c r="F35">
        <v>0.32</v>
      </c>
      <c r="G35">
        <v>32</v>
      </c>
      <c r="J35" s="20">
        <v>97</v>
      </c>
      <c r="K35">
        <v>5616</v>
      </c>
      <c r="L35">
        <v>4077</v>
      </c>
      <c r="M35">
        <v>72.599999999999994</v>
      </c>
      <c r="AC35"/>
    </row>
    <row r="36" spans="1:29" x14ac:dyDescent="0.3">
      <c r="A36">
        <v>233</v>
      </c>
      <c r="B36" t="s">
        <v>69</v>
      </c>
      <c r="C36">
        <v>161</v>
      </c>
      <c r="D36">
        <v>135</v>
      </c>
      <c r="E36">
        <v>83.85</v>
      </c>
      <c r="F36">
        <v>0.32</v>
      </c>
      <c r="G36">
        <v>33</v>
      </c>
      <c r="J36" s="2">
        <v>5</v>
      </c>
      <c r="AC36"/>
    </row>
    <row r="37" spans="1:29" x14ac:dyDescent="0.3">
      <c r="A37">
        <v>32</v>
      </c>
      <c r="B37" t="s">
        <v>78</v>
      </c>
      <c r="C37">
        <v>163</v>
      </c>
      <c r="D37">
        <v>130</v>
      </c>
      <c r="E37">
        <v>79.75</v>
      </c>
      <c r="F37">
        <v>0.31</v>
      </c>
      <c r="G37">
        <v>34</v>
      </c>
      <c r="J37" s="20">
        <v>134</v>
      </c>
      <c r="K37">
        <v>7255</v>
      </c>
      <c r="L37">
        <v>2058</v>
      </c>
      <c r="M37">
        <v>28.37</v>
      </c>
      <c r="AC37"/>
    </row>
    <row r="38" spans="1:29" x14ac:dyDescent="0.3">
      <c r="A38">
        <v>81</v>
      </c>
      <c r="B38" t="s">
        <v>97</v>
      </c>
      <c r="C38">
        <v>219</v>
      </c>
      <c r="D38">
        <v>117</v>
      </c>
      <c r="E38">
        <v>53.42</v>
      </c>
      <c r="F38">
        <v>0.28000000000000003</v>
      </c>
      <c r="G38">
        <v>35</v>
      </c>
      <c r="J38" s="2">
        <v>6</v>
      </c>
      <c r="AC38"/>
    </row>
    <row r="39" spans="1:29" x14ac:dyDescent="0.3">
      <c r="A39">
        <v>118</v>
      </c>
      <c r="B39" t="s">
        <v>92</v>
      </c>
      <c r="C39">
        <v>130</v>
      </c>
      <c r="D39">
        <v>101</v>
      </c>
      <c r="E39">
        <v>77.69</v>
      </c>
      <c r="F39">
        <v>0.24</v>
      </c>
      <c r="G39">
        <v>36</v>
      </c>
      <c r="J39" s="20">
        <v>94</v>
      </c>
      <c r="K39">
        <v>2479</v>
      </c>
      <c r="L39">
        <v>2030</v>
      </c>
      <c r="M39">
        <v>81.89</v>
      </c>
      <c r="AC39"/>
    </row>
    <row r="40" spans="1:29" x14ac:dyDescent="0.3">
      <c r="A40">
        <v>232</v>
      </c>
      <c r="B40" t="s">
        <v>69</v>
      </c>
      <c r="C40">
        <v>151</v>
      </c>
      <c r="D40">
        <v>101</v>
      </c>
      <c r="E40">
        <v>66.89</v>
      </c>
      <c r="F40">
        <v>0.24</v>
      </c>
      <c r="G40">
        <v>37</v>
      </c>
      <c r="J40" s="2">
        <v>7</v>
      </c>
      <c r="AC40"/>
    </row>
    <row r="41" spans="1:29" x14ac:dyDescent="0.3">
      <c r="A41">
        <v>109</v>
      </c>
      <c r="B41" t="s">
        <v>72</v>
      </c>
      <c r="C41">
        <v>210</v>
      </c>
      <c r="D41">
        <v>102</v>
      </c>
      <c r="E41">
        <v>48.57</v>
      </c>
      <c r="F41">
        <v>0.24</v>
      </c>
      <c r="G41">
        <v>38</v>
      </c>
      <c r="J41" s="20">
        <v>29</v>
      </c>
      <c r="K41">
        <v>2395</v>
      </c>
      <c r="L41">
        <v>1916</v>
      </c>
      <c r="M41">
        <v>80</v>
      </c>
      <c r="AC41"/>
    </row>
    <row r="42" spans="1:29" x14ac:dyDescent="0.3">
      <c r="A42">
        <v>38</v>
      </c>
      <c r="B42" t="s">
        <v>98</v>
      </c>
      <c r="C42">
        <v>275</v>
      </c>
      <c r="D42">
        <v>101</v>
      </c>
      <c r="E42">
        <v>36.729999999999997</v>
      </c>
      <c r="F42">
        <v>0.24</v>
      </c>
      <c r="G42">
        <v>39</v>
      </c>
      <c r="J42" s="2">
        <v>8</v>
      </c>
    </row>
    <row r="43" spans="1:29" x14ac:dyDescent="0.3">
      <c r="A43">
        <v>22</v>
      </c>
      <c r="B43" t="s">
        <v>78</v>
      </c>
      <c r="C43">
        <v>134</v>
      </c>
      <c r="D43">
        <v>94</v>
      </c>
      <c r="E43">
        <v>70.150000000000006</v>
      </c>
      <c r="F43">
        <v>0.22</v>
      </c>
      <c r="G43">
        <v>40</v>
      </c>
      <c r="J43" s="20">
        <v>230</v>
      </c>
      <c r="K43">
        <v>778</v>
      </c>
      <c r="L43">
        <v>578</v>
      </c>
      <c r="M43">
        <v>74.290000000000006</v>
      </c>
    </row>
    <row r="44" spans="1:29" x14ac:dyDescent="0.3">
      <c r="A44">
        <v>95</v>
      </c>
      <c r="B44" t="s">
        <v>69</v>
      </c>
      <c r="C44">
        <v>285</v>
      </c>
      <c r="D44">
        <v>91</v>
      </c>
      <c r="E44">
        <v>31.93</v>
      </c>
      <c r="F44">
        <v>0.22</v>
      </c>
      <c r="G44">
        <v>41</v>
      </c>
      <c r="J44" s="2">
        <v>9</v>
      </c>
    </row>
    <row r="45" spans="1:29" x14ac:dyDescent="0.3">
      <c r="A45">
        <v>209</v>
      </c>
      <c r="B45" t="s">
        <v>96</v>
      </c>
      <c r="C45">
        <v>168</v>
      </c>
      <c r="D45">
        <v>78</v>
      </c>
      <c r="E45">
        <v>46.43</v>
      </c>
      <c r="F45">
        <v>0.19</v>
      </c>
      <c r="G45">
        <v>42</v>
      </c>
      <c r="J45" s="20">
        <v>35</v>
      </c>
      <c r="K45">
        <v>847</v>
      </c>
      <c r="L45">
        <v>528</v>
      </c>
      <c r="M45">
        <v>62.34</v>
      </c>
    </row>
    <row r="46" spans="1:29" x14ac:dyDescent="0.3">
      <c r="A46">
        <v>82</v>
      </c>
      <c r="B46" t="s">
        <v>97</v>
      </c>
      <c r="C46">
        <v>125</v>
      </c>
      <c r="D46">
        <v>74</v>
      </c>
      <c r="E46">
        <v>59.2</v>
      </c>
      <c r="F46">
        <v>0.18</v>
      </c>
      <c r="G46">
        <v>43</v>
      </c>
      <c r="J46" s="2">
        <v>10</v>
      </c>
    </row>
    <row r="47" spans="1:29" x14ac:dyDescent="0.3">
      <c r="A47">
        <v>103</v>
      </c>
      <c r="B47" t="s">
        <v>93</v>
      </c>
      <c r="C47">
        <v>130</v>
      </c>
      <c r="D47">
        <v>71</v>
      </c>
      <c r="E47">
        <v>54.62</v>
      </c>
      <c r="F47">
        <v>0.17</v>
      </c>
      <c r="G47">
        <v>44</v>
      </c>
      <c r="J47" s="20">
        <v>34</v>
      </c>
      <c r="K47">
        <v>658</v>
      </c>
      <c r="L47">
        <v>494</v>
      </c>
      <c r="M47">
        <v>75.08</v>
      </c>
    </row>
    <row r="48" spans="1:29" x14ac:dyDescent="0.3">
      <c r="A48">
        <v>98</v>
      </c>
      <c r="B48" t="s">
        <v>69</v>
      </c>
      <c r="C48">
        <v>102</v>
      </c>
      <c r="D48">
        <v>69</v>
      </c>
      <c r="E48">
        <v>67.650000000000006</v>
      </c>
      <c r="F48">
        <v>0.16</v>
      </c>
      <c r="G48">
        <v>45</v>
      </c>
    </row>
    <row r="49" spans="1:7" x14ac:dyDescent="0.3">
      <c r="A49">
        <v>88</v>
      </c>
      <c r="B49" t="s">
        <v>69</v>
      </c>
      <c r="C49">
        <v>101</v>
      </c>
      <c r="D49">
        <v>56</v>
      </c>
      <c r="E49">
        <v>55.45</v>
      </c>
      <c r="F49">
        <v>0.13</v>
      </c>
      <c r="G49">
        <v>46</v>
      </c>
    </row>
    <row r="50" spans="1:7" x14ac:dyDescent="0.3">
      <c r="A50">
        <v>40</v>
      </c>
      <c r="B50" t="s">
        <v>98</v>
      </c>
      <c r="C50">
        <v>1082</v>
      </c>
      <c r="D50">
        <v>38</v>
      </c>
      <c r="E50">
        <v>3.51</v>
      </c>
      <c r="F50">
        <v>0.09</v>
      </c>
      <c r="G50">
        <v>47</v>
      </c>
    </row>
    <row r="51" spans="1:7" x14ac:dyDescent="0.3">
      <c r="A51">
        <v>41</v>
      </c>
      <c r="B51" t="s">
        <v>98</v>
      </c>
      <c r="C51">
        <v>1349</v>
      </c>
      <c r="D51">
        <v>38</v>
      </c>
      <c r="E51">
        <v>2.82</v>
      </c>
      <c r="F51">
        <v>0.09</v>
      </c>
      <c r="G51">
        <v>48</v>
      </c>
    </row>
    <row r="52" spans="1:7" x14ac:dyDescent="0.3">
      <c r="A52">
        <v>175</v>
      </c>
      <c r="B52" t="s">
        <v>90</v>
      </c>
      <c r="C52">
        <v>116</v>
      </c>
      <c r="D52">
        <v>32</v>
      </c>
      <c r="E52">
        <v>27.59</v>
      </c>
      <c r="F52">
        <v>0.08</v>
      </c>
      <c r="G52">
        <v>49</v>
      </c>
    </row>
    <row r="53" spans="1:7" x14ac:dyDescent="0.3">
      <c r="A53">
        <v>111</v>
      </c>
      <c r="B53" t="s">
        <v>72</v>
      </c>
      <c r="C53">
        <v>304</v>
      </c>
      <c r="D53">
        <v>26</v>
      </c>
      <c r="E53">
        <v>8.5500000000000007</v>
      </c>
      <c r="F53">
        <v>0.06</v>
      </c>
      <c r="G53">
        <v>50</v>
      </c>
    </row>
    <row r="54" spans="1:7" x14ac:dyDescent="0.3">
      <c r="A54">
        <v>104</v>
      </c>
      <c r="B54" t="s">
        <v>93</v>
      </c>
      <c r="C54">
        <v>118</v>
      </c>
      <c r="D54">
        <v>19</v>
      </c>
      <c r="E54">
        <v>16.100000000000001</v>
      </c>
      <c r="F54">
        <v>0.05</v>
      </c>
      <c r="G54">
        <v>51</v>
      </c>
    </row>
    <row r="55" spans="1:7" x14ac:dyDescent="0.3">
      <c r="A55">
        <v>55</v>
      </c>
      <c r="B55" t="s">
        <v>99</v>
      </c>
      <c r="C55">
        <v>149</v>
      </c>
      <c r="D55">
        <v>15</v>
      </c>
      <c r="E55">
        <v>10.07</v>
      </c>
      <c r="F55">
        <v>0.04</v>
      </c>
      <c r="G55">
        <v>52</v>
      </c>
    </row>
    <row r="56" spans="1:7" x14ac:dyDescent="0.3">
      <c r="A56">
        <v>79</v>
      </c>
      <c r="B56" t="s">
        <v>97</v>
      </c>
      <c r="C56">
        <v>417</v>
      </c>
      <c r="D56">
        <v>8</v>
      </c>
      <c r="E56">
        <v>1.92</v>
      </c>
      <c r="F56">
        <v>0.02</v>
      </c>
      <c r="G56">
        <v>53</v>
      </c>
    </row>
    <row r="57" spans="1:7" x14ac:dyDescent="0.3">
      <c r="A57">
        <v>84</v>
      </c>
      <c r="B57" t="s">
        <v>97</v>
      </c>
      <c r="C57">
        <v>102</v>
      </c>
      <c r="D57">
        <v>3</v>
      </c>
      <c r="E57">
        <v>2.94</v>
      </c>
      <c r="F57">
        <v>0.01</v>
      </c>
      <c r="G57">
        <v>54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B65A-EF4F-469B-9BCF-396A002927C8}">
  <dimension ref="A1:U63"/>
  <sheetViews>
    <sheetView topLeftCell="F1" zoomScale="85" zoomScaleNormal="85" workbookViewId="0">
      <selection activeCell="M5" sqref="M5"/>
    </sheetView>
  </sheetViews>
  <sheetFormatPr defaultRowHeight="14.4" x14ac:dyDescent="0.3"/>
  <cols>
    <col min="1" max="1" width="11.33203125" customWidth="1"/>
    <col min="2" max="2" width="17.88671875" customWidth="1"/>
    <col min="3" max="3" width="19.21875" customWidth="1"/>
    <col min="4" max="4" width="19.5546875" customWidth="1"/>
    <col min="5" max="5" width="26.33203125" customWidth="1"/>
    <col min="6" max="6" width="13.44140625" customWidth="1"/>
    <col min="7" max="7" width="16" customWidth="1"/>
    <col min="8" max="8" width="9.6640625" customWidth="1"/>
    <col min="12" max="12" width="13.88671875" bestFit="1" customWidth="1"/>
    <col min="13" max="13" width="16.77734375" bestFit="1" customWidth="1"/>
    <col min="14" max="14" width="30.77734375" bestFit="1" customWidth="1"/>
    <col min="15" max="15" width="14.109375" bestFit="1" customWidth="1"/>
    <col min="16" max="16" width="30.77734375" bestFit="1" customWidth="1"/>
  </cols>
  <sheetData>
    <row r="1" spans="1:21" ht="18" x14ac:dyDescent="0.35">
      <c r="A1" s="74" t="s">
        <v>178</v>
      </c>
      <c r="L1" s="74" t="s">
        <v>179</v>
      </c>
      <c r="O1" s="75"/>
      <c r="Q1" s="75"/>
      <c r="S1" s="74" t="s">
        <v>181</v>
      </c>
    </row>
    <row r="2" spans="1:21" x14ac:dyDescent="0.3">
      <c r="A2" t="s">
        <v>189</v>
      </c>
    </row>
    <row r="3" spans="1:21" x14ac:dyDescent="0.3">
      <c r="A3" t="s">
        <v>58</v>
      </c>
      <c r="B3" t="s">
        <v>65</v>
      </c>
      <c r="C3" t="s">
        <v>66</v>
      </c>
      <c r="D3" t="s">
        <v>67</v>
      </c>
      <c r="E3" t="s">
        <v>68</v>
      </c>
      <c r="F3" t="s">
        <v>159</v>
      </c>
      <c r="G3" t="s">
        <v>63</v>
      </c>
      <c r="H3" t="s">
        <v>44</v>
      </c>
      <c r="I3" t="s">
        <v>45</v>
      </c>
      <c r="L3" s="1" t="s">
        <v>58</v>
      </c>
      <c r="M3" t="s">
        <v>48</v>
      </c>
    </row>
    <row r="4" spans="1:21" x14ac:dyDescent="0.3">
      <c r="A4" t="s">
        <v>46</v>
      </c>
      <c r="B4">
        <v>92</v>
      </c>
      <c r="C4">
        <v>1</v>
      </c>
      <c r="D4" t="s">
        <v>69</v>
      </c>
      <c r="E4" t="s">
        <v>70</v>
      </c>
      <c r="F4" t="s">
        <v>154</v>
      </c>
      <c r="G4">
        <v>15794</v>
      </c>
      <c r="H4">
        <v>10</v>
      </c>
      <c r="I4">
        <v>19</v>
      </c>
    </row>
    <row r="5" spans="1:21" x14ac:dyDescent="0.3">
      <c r="A5" t="s">
        <v>46</v>
      </c>
      <c r="B5">
        <v>92</v>
      </c>
      <c r="C5">
        <v>1</v>
      </c>
      <c r="D5" t="s">
        <v>69</v>
      </c>
      <c r="E5" t="s">
        <v>70</v>
      </c>
      <c r="F5" t="s">
        <v>155</v>
      </c>
      <c r="G5">
        <v>15794</v>
      </c>
      <c r="H5">
        <v>13</v>
      </c>
      <c r="I5">
        <v>20</v>
      </c>
      <c r="M5" s="1" t="s">
        <v>190</v>
      </c>
      <c r="U5" s="3"/>
    </row>
    <row r="6" spans="1:21" x14ac:dyDescent="0.3">
      <c r="A6" t="s">
        <v>47</v>
      </c>
      <c r="B6">
        <v>92</v>
      </c>
      <c r="C6">
        <v>1</v>
      </c>
      <c r="D6" t="s">
        <v>69</v>
      </c>
      <c r="E6" t="s">
        <v>70</v>
      </c>
      <c r="F6" t="s">
        <v>154</v>
      </c>
      <c r="G6">
        <v>15207</v>
      </c>
      <c r="H6">
        <v>9</v>
      </c>
      <c r="I6">
        <v>27</v>
      </c>
      <c r="M6" t="s">
        <v>154</v>
      </c>
      <c r="O6" t="s">
        <v>155</v>
      </c>
    </row>
    <row r="7" spans="1:21" x14ac:dyDescent="0.3">
      <c r="A7" t="s">
        <v>47</v>
      </c>
      <c r="B7">
        <v>92</v>
      </c>
      <c r="C7">
        <v>1</v>
      </c>
      <c r="D7" t="s">
        <v>69</v>
      </c>
      <c r="E7" t="s">
        <v>70</v>
      </c>
      <c r="F7" t="s">
        <v>155</v>
      </c>
      <c r="G7">
        <v>15207</v>
      </c>
      <c r="H7">
        <v>7</v>
      </c>
      <c r="I7">
        <v>46</v>
      </c>
      <c r="L7" s="1" t="s">
        <v>192</v>
      </c>
      <c r="M7" t="s">
        <v>145</v>
      </c>
      <c r="N7" t="s">
        <v>160</v>
      </c>
      <c r="O7" t="s">
        <v>145</v>
      </c>
      <c r="P7" t="s">
        <v>160</v>
      </c>
    </row>
    <row r="8" spans="1:21" x14ac:dyDescent="0.3">
      <c r="A8" t="s">
        <v>48</v>
      </c>
      <c r="B8">
        <v>92</v>
      </c>
      <c r="C8">
        <v>1</v>
      </c>
      <c r="D8" t="s">
        <v>69</v>
      </c>
      <c r="E8" t="s">
        <v>70</v>
      </c>
      <c r="F8" t="s">
        <v>154</v>
      </c>
      <c r="G8">
        <v>15772</v>
      </c>
      <c r="H8">
        <v>36</v>
      </c>
      <c r="I8">
        <v>50</v>
      </c>
      <c r="L8" s="2">
        <v>1</v>
      </c>
    </row>
    <row r="9" spans="1:21" x14ac:dyDescent="0.3">
      <c r="A9" t="s">
        <v>48</v>
      </c>
      <c r="B9">
        <v>92</v>
      </c>
      <c r="C9">
        <v>1</v>
      </c>
      <c r="D9" t="s">
        <v>69</v>
      </c>
      <c r="E9" t="s">
        <v>70</v>
      </c>
      <c r="F9" t="s">
        <v>155</v>
      </c>
      <c r="G9">
        <v>15772</v>
      </c>
      <c r="H9">
        <v>91</v>
      </c>
      <c r="I9">
        <v>113</v>
      </c>
      <c r="L9" s="20">
        <v>92</v>
      </c>
      <c r="M9">
        <v>36</v>
      </c>
      <c r="N9">
        <v>24</v>
      </c>
      <c r="O9">
        <v>91</v>
      </c>
      <c r="P9">
        <v>24</v>
      </c>
    </row>
    <row r="10" spans="1:21" x14ac:dyDescent="0.3">
      <c r="A10" t="s">
        <v>46</v>
      </c>
      <c r="B10">
        <v>93</v>
      </c>
      <c r="C10">
        <v>2</v>
      </c>
      <c r="D10" t="s">
        <v>69</v>
      </c>
      <c r="E10" t="s">
        <v>71</v>
      </c>
      <c r="F10" t="s">
        <v>154</v>
      </c>
      <c r="G10">
        <v>6793</v>
      </c>
      <c r="H10">
        <v>14</v>
      </c>
      <c r="I10">
        <v>27</v>
      </c>
      <c r="L10" s="2">
        <v>2</v>
      </c>
    </row>
    <row r="11" spans="1:21" x14ac:dyDescent="0.3">
      <c r="A11" t="s">
        <v>46</v>
      </c>
      <c r="B11">
        <v>93</v>
      </c>
      <c r="C11">
        <v>2</v>
      </c>
      <c r="D11" t="s">
        <v>69</v>
      </c>
      <c r="E11" t="s">
        <v>71</v>
      </c>
      <c r="F11" t="s">
        <v>155</v>
      </c>
      <c r="G11">
        <v>6793</v>
      </c>
      <c r="H11">
        <v>17</v>
      </c>
      <c r="I11">
        <v>42</v>
      </c>
      <c r="L11" s="20">
        <v>93</v>
      </c>
      <c r="M11">
        <v>31</v>
      </c>
      <c r="N11">
        <v>24</v>
      </c>
      <c r="O11">
        <v>64</v>
      </c>
      <c r="P11">
        <v>24</v>
      </c>
    </row>
    <row r="12" spans="1:21" x14ac:dyDescent="0.3">
      <c r="A12" t="s">
        <v>47</v>
      </c>
      <c r="B12">
        <v>93</v>
      </c>
      <c r="C12">
        <v>2</v>
      </c>
      <c r="D12" t="s">
        <v>69</v>
      </c>
      <c r="E12" t="s">
        <v>71</v>
      </c>
      <c r="F12" t="s">
        <v>154</v>
      </c>
      <c r="G12">
        <v>6707</v>
      </c>
      <c r="H12">
        <v>9</v>
      </c>
      <c r="I12">
        <v>31</v>
      </c>
      <c r="L12" s="2">
        <v>3</v>
      </c>
    </row>
    <row r="13" spans="1:21" x14ac:dyDescent="0.3">
      <c r="A13" t="s">
        <v>47</v>
      </c>
      <c r="B13">
        <v>93</v>
      </c>
      <c r="C13">
        <v>2</v>
      </c>
      <c r="D13" t="s">
        <v>69</v>
      </c>
      <c r="E13" t="s">
        <v>71</v>
      </c>
      <c r="F13" t="s">
        <v>155</v>
      </c>
      <c r="G13">
        <v>6707</v>
      </c>
      <c r="H13">
        <v>10</v>
      </c>
      <c r="I13">
        <v>45</v>
      </c>
      <c r="L13" s="20">
        <v>112</v>
      </c>
      <c r="M13">
        <v>24</v>
      </c>
      <c r="N13">
        <v>24</v>
      </c>
      <c r="O13">
        <v>37</v>
      </c>
      <c r="P13">
        <v>24</v>
      </c>
    </row>
    <row r="14" spans="1:21" x14ac:dyDescent="0.3">
      <c r="A14" t="s">
        <v>48</v>
      </c>
      <c r="B14">
        <v>93</v>
      </c>
      <c r="C14">
        <v>2</v>
      </c>
      <c r="D14" t="s">
        <v>69</v>
      </c>
      <c r="E14" t="s">
        <v>71</v>
      </c>
      <c r="F14" t="s">
        <v>154</v>
      </c>
      <c r="G14">
        <v>6772</v>
      </c>
      <c r="H14">
        <v>31</v>
      </c>
      <c r="I14">
        <v>58</v>
      </c>
      <c r="L14" s="2">
        <v>4</v>
      </c>
    </row>
    <row r="15" spans="1:21" x14ac:dyDescent="0.3">
      <c r="A15" t="s">
        <v>48</v>
      </c>
      <c r="B15">
        <v>93</v>
      </c>
      <c r="C15">
        <v>2</v>
      </c>
      <c r="D15" t="s">
        <v>69</v>
      </c>
      <c r="E15" t="s">
        <v>71</v>
      </c>
      <c r="F15" t="s">
        <v>155</v>
      </c>
      <c r="G15">
        <v>6772</v>
      </c>
      <c r="H15">
        <v>64</v>
      </c>
      <c r="I15">
        <v>86</v>
      </c>
      <c r="L15" s="20">
        <v>97</v>
      </c>
      <c r="M15">
        <v>50</v>
      </c>
      <c r="N15">
        <v>24</v>
      </c>
      <c r="O15">
        <v>71</v>
      </c>
      <c r="P15">
        <v>24</v>
      </c>
    </row>
    <row r="16" spans="1:21" x14ac:dyDescent="0.3">
      <c r="A16" t="s">
        <v>46</v>
      </c>
      <c r="B16">
        <v>112</v>
      </c>
      <c r="C16">
        <v>3</v>
      </c>
      <c r="D16" t="s">
        <v>72</v>
      </c>
      <c r="E16" t="s">
        <v>73</v>
      </c>
      <c r="F16" t="s">
        <v>154</v>
      </c>
      <c r="G16">
        <v>25840</v>
      </c>
      <c r="H16">
        <v>5</v>
      </c>
      <c r="I16">
        <v>11</v>
      </c>
      <c r="L16" s="2">
        <v>5</v>
      </c>
    </row>
    <row r="17" spans="1:16" x14ac:dyDescent="0.3">
      <c r="A17" t="s">
        <v>46</v>
      </c>
      <c r="B17">
        <v>112</v>
      </c>
      <c r="C17">
        <v>3</v>
      </c>
      <c r="D17" t="s">
        <v>72</v>
      </c>
      <c r="E17" t="s">
        <v>73</v>
      </c>
      <c r="F17" t="s">
        <v>155</v>
      </c>
      <c r="G17">
        <v>25840</v>
      </c>
      <c r="H17">
        <v>7</v>
      </c>
      <c r="I17">
        <v>29</v>
      </c>
      <c r="L17" s="20">
        <v>134</v>
      </c>
      <c r="M17">
        <v>22</v>
      </c>
      <c r="N17">
        <v>24</v>
      </c>
      <c r="O17">
        <v>43</v>
      </c>
      <c r="P17">
        <v>24</v>
      </c>
    </row>
    <row r="18" spans="1:16" x14ac:dyDescent="0.3">
      <c r="A18" t="s">
        <v>47</v>
      </c>
      <c r="B18">
        <v>112</v>
      </c>
      <c r="C18">
        <v>3</v>
      </c>
      <c r="D18" t="s">
        <v>72</v>
      </c>
      <c r="E18" t="s">
        <v>73</v>
      </c>
      <c r="F18" t="s">
        <v>154</v>
      </c>
      <c r="G18">
        <v>24509</v>
      </c>
      <c r="H18">
        <v>16</v>
      </c>
      <c r="I18">
        <v>37</v>
      </c>
      <c r="L18" s="2">
        <v>6</v>
      </c>
    </row>
    <row r="19" spans="1:16" x14ac:dyDescent="0.3">
      <c r="A19" t="s">
        <v>47</v>
      </c>
      <c r="B19">
        <v>112</v>
      </c>
      <c r="C19">
        <v>3</v>
      </c>
      <c r="D19" t="s">
        <v>72</v>
      </c>
      <c r="E19" t="s">
        <v>73</v>
      </c>
      <c r="F19" t="s">
        <v>155</v>
      </c>
      <c r="G19">
        <v>24509</v>
      </c>
      <c r="H19">
        <v>38</v>
      </c>
      <c r="I19">
        <v>78</v>
      </c>
      <c r="L19" s="20">
        <v>94</v>
      </c>
      <c r="M19">
        <v>27</v>
      </c>
      <c r="N19">
        <v>24</v>
      </c>
      <c r="O19">
        <v>80</v>
      </c>
      <c r="P19">
        <v>24</v>
      </c>
    </row>
    <row r="20" spans="1:16" x14ac:dyDescent="0.3">
      <c r="A20" t="s">
        <v>48</v>
      </c>
      <c r="B20">
        <v>112</v>
      </c>
      <c r="C20">
        <v>3</v>
      </c>
      <c r="D20" t="s">
        <v>72</v>
      </c>
      <c r="E20" t="s">
        <v>73</v>
      </c>
      <c r="F20" t="s">
        <v>154</v>
      </c>
      <c r="G20">
        <v>25816</v>
      </c>
      <c r="H20">
        <v>24</v>
      </c>
      <c r="I20">
        <v>44</v>
      </c>
      <c r="L20" s="2">
        <v>7</v>
      </c>
    </row>
    <row r="21" spans="1:16" x14ac:dyDescent="0.3">
      <c r="A21" t="s">
        <v>48</v>
      </c>
      <c r="B21">
        <v>112</v>
      </c>
      <c r="C21">
        <v>3</v>
      </c>
      <c r="D21" t="s">
        <v>72</v>
      </c>
      <c r="E21" t="s">
        <v>73</v>
      </c>
      <c r="F21" t="s">
        <v>155</v>
      </c>
      <c r="G21">
        <v>25816</v>
      </c>
      <c r="H21">
        <v>37</v>
      </c>
      <c r="I21">
        <v>73</v>
      </c>
      <c r="L21" s="20">
        <v>29</v>
      </c>
      <c r="M21">
        <v>36</v>
      </c>
      <c r="N21">
        <v>24</v>
      </c>
      <c r="O21">
        <v>49</v>
      </c>
      <c r="P21">
        <v>24</v>
      </c>
    </row>
    <row r="22" spans="1:16" x14ac:dyDescent="0.3">
      <c r="A22" t="s">
        <v>46</v>
      </c>
      <c r="B22">
        <v>97</v>
      </c>
      <c r="C22">
        <v>4</v>
      </c>
      <c r="D22" t="s">
        <v>69</v>
      </c>
      <c r="E22" t="s">
        <v>74</v>
      </c>
      <c r="F22" t="s">
        <v>154</v>
      </c>
      <c r="G22">
        <v>5613</v>
      </c>
      <c r="H22">
        <v>7</v>
      </c>
      <c r="I22">
        <v>21</v>
      </c>
      <c r="L22" s="2">
        <v>8</v>
      </c>
    </row>
    <row r="23" spans="1:16" x14ac:dyDescent="0.3">
      <c r="A23" t="s">
        <v>46</v>
      </c>
      <c r="B23">
        <v>97</v>
      </c>
      <c r="C23">
        <v>4</v>
      </c>
      <c r="D23" t="s">
        <v>69</v>
      </c>
      <c r="E23" t="s">
        <v>74</v>
      </c>
      <c r="F23" t="s">
        <v>155</v>
      </c>
      <c r="G23">
        <v>5613</v>
      </c>
      <c r="H23">
        <v>12</v>
      </c>
      <c r="I23">
        <v>40</v>
      </c>
      <c r="L23" s="20">
        <v>230</v>
      </c>
      <c r="M23">
        <v>23</v>
      </c>
      <c r="N23">
        <v>24</v>
      </c>
      <c r="O23">
        <v>45</v>
      </c>
      <c r="P23">
        <v>24</v>
      </c>
    </row>
    <row r="24" spans="1:16" x14ac:dyDescent="0.3">
      <c r="A24" t="s">
        <v>47</v>
      </c>
      <c r="B24">
        <v>97</v>
      </c>
      <c r="C24">
        <v>4</v>
      </c>
      <c r="D24" t="s">
        <v>69</v>
      </c>
      <c r="E24" t="s">
        <v>74</v>
      </c>
      <c r="F24" t="s">
        <v>154</v>
      </c>
      <c r="G24">
        <v>5540</v>
      </c>
      <c r="H24">
        <v>8</v>
      </c>
      <c r="I24">
        <v>28</v>
      </c>
      <c r="L24" s="2">
        <v>9</v>
      </c>
    </row>
    <row r="25" spans="1:16" x14ac:dyDescent="0.3">
      <c r="A25" t="s">
        <v>47</v>
      </c>
      <c r="B25">
        <v>97</v>
      </c>
      <c r="C25">
        <v>4</v>
      </c>
      <c r="D25" t="s">
        <v>69</v>
      </c>
      <c r="E25" t="s">
        <v>74</v>
      </c>
      <c r="F25" t="s">
        <v>155</v>
      </c>
      <c r="G25">
        <v>5540</v>
      </c>
      <c r="H25">
        <v>6</v>
      </c>
      <c r="I25">
        <v>31</v>
      </c>
      <c r="L25" s="20">
        <v>35</v>
      </c>
      <c r="M25">
        <v>24</v>
      </c>
      <c r="N25">
        <v>24</v>
      </c>
      <c r="O25">
        <v>59</v>
      </c>
      <c r="P25">
        <v>24</v>
      </c>
    </row>
    <row r="26" spans="1:16" x14ac:dyDescent="0.3">
      <c r="A26" t="s">
        <v>48</v>
      </c>
      <c r="B26">
        <v>97</v>
      </c>
      <c r="C26">
        <v>4</v>
      </c>
      <c r="D26" t="s">
        <v>69</v>
      </c>
      <c r="E26" t="s">
        <v>74</v>
      </c>
      <c r="F26" t="s">
        <v>154</v>
      </c>
      <c r="G26">
        <v>5609</v>
      </c>
      <c r="H26">
        <v>50</v>
      </c>
      <c r="I26">
        <v>62</v>
      </c>
      <c r="L26" s="2">
        <v>10</v>
      </c>
    </row>
    <row r="27" spans="1:16" x14ac:dyDescent="0.3">
      <c r="A27" t="s">
        <v>48</v>
      </c>
      <c r="B27">
        <v>97</v>
      </c>
      <c r="C27">
        <v>4</v>
      </c>
      <c r="D27" t="s">
        <v>69</v>
      </c>
      <c r="E27" t="s">
        <v>74</v>
      </c>
      <c r="F27" t="s">
        <v>155</v>
      </c>
      <c r="G27">
        <v>5609</v>
      </c>
      <c r="H27">
        <v>71</v>
      </c>
      <c r="I27">
        <v>84</v>
      </c>
      <c r="L27" s="20">
        <v>34</v>
      </c>
      <c r="M27">
        <v>30</v>
      </c>
      <c r="N27">
        <v>24</v>
      </c>
      <c r="O27">
        <v>51</v>
      </c>
      <c r="P27">
        <v>24</v>
      </c>
    </row>
    <row r="28" spans="1:16" x14ac:dyDescent="0.3">
      <c r="A28" t="s">
        <v>46</v>
      </c>
      <c r="B28">
        <v>134</v>
      </c>
      <c r="C28">
        <v>5</v>
      </c>
      <c r="D28" t="s">
        <v>75</v>
      </c>
      <c r="E28" t="s">
        <v>76</v>
      </c>
      <c r="F28" t="s">
        <v>154</v>
      </c>
      <c r="G28">
        <v>7145</v>
      </c>
      <c r="H28">
        <v>5</v>
      </c>
      <c r="I28">
        <v>14</v>
      </c>
    </row>
    <row r="29" spans="1:16" x14ac:dyDescent="0.3">
      <c r="A29" t="s">
        <v>46</v>
      </c>
      <c r="B29">
        <v>134</v>
      </c>
      <c r="C29">
        <v>5</v>
      </c>
      <c r="D29" t="s">
        <v>75</v>
      </c>
      <c r="E29" t="s">
        <v>76</v>
      </c>
      <c r="F29" t="s">
        <v>155</v>
      </c>
      <c r="G29">
        <v>7145</v>
      </c>
      <c r="H29">
        <v>29</v>
      </c>
      <c r="I29">
        <v>76</v>
      </c>
    </row>
    <row r="30" spans="1:16" x14ac:dyDescent="0.3">
      <c r="A30" t="s">
        <v>47</v>
      </c>
      <c r="B30">
        <v>134</v>
      </c>
      <c r="C30">
        <v>5</v>
      </c>
      <c r="D30" t="s">
        <v>75</v>
      </c>
      <c r="E30" t="s">
        <v>76</v>
      </c>
      <c r="F30" t="s">
        <v>154</v>
      </c>
      <c r="G30">
        <v>6863</v>
      </c>
      <c r="H30">
        <v>19</v>
      </c>
      <c r="I30">
        <v>39</v>
      </c>
    </row>
    <row r="31" spans="1:16" x14ac:dyDescent="0.3">
      <c r="A31" t="s">
        <v>47</v>
      </c>
      <c r="B31">
        <v>134</v>
      </c>
      <c r="C31">
        <v>5</v>
      </c>
      <c r="D31" t="s">
        <v>75</v>
      </c>
      <c r="E31" t="s">
        <v>76</v>
      </c>
      <c r="F31" t="s">
        <v>155</v>
      </c>
      <c r="G31">
        <v>6863</v>
      </c>
      <c r="H31">
        <v>31</v>
      </c>
      <c r="I31">
        <v>77</v>
      </c>
    </row>
    <row r="32" spans="1:16" x14ac:dyDescent="0.3">
      <c r="A32" t="s">
        <v>48</v>
      </c>
      <c r="B32">
        <v>134</v>
      </c>
      <c r="C32">
        <v>5</v>
      </c>
      <c r="D32" t="s">
        <v>75</v>
      </c>
      <c r="E32" t="s">
        <v>76</v>
      </c>
      <c r="F32" t="s">
        <v>154</v>
      </c>
      <c r="G32">
        <v>7139</v>
      </c>
      <c r="H32">
        <v>22</v>
      </c>
      <c r="I32">
        <v>38</v>
      </c>
    </row>
    <row r="33" spans="1:9" x14ac:dyDescent="0.3">
      <c r="A33" t="s">
        <v>48</v>
      </c>
      <c r="B33">
        <v>134</v>
      </c>
      <c r="C33">
        <v>5</v>
      </c>
      <c r="D33" t="s">
        <v>75</v>
      </c>
      <c r="E33" t="s">
        <v>76</v>
      </c>
      <c r="F33" t="s">
        <v>155</v>
      </c>
      <c r="G33">
        <v>7139</v>
      </c>
      <c r="H33">
        <v>43</v>
      </c>
      <c r="I33">
        <v>89</v>
      </c>
    </row>
    <row r="34" spans="1:9" x14ac:dyDescent="0.3">
      <c r="A34" t="s">
        <v>46</v>
      </c>
      <c r="B34">
        <v>94</v>
      </c>
      <c r="C34">
        <v>6</v>
      </c>
      <c r="D34" t="s">
        <v>69</v>
      </c>
      <c r="E34" t="s">
        <v>77</v>
      </c>
      <c r="F34" t="s">
        <v>154</v>
      </c>
      <c r="G34">
        <v>2476</v>
      </c>
      <c r="H34">
        <v>13</v>
      </c>
      <c r="I34">
        <v>28</v>
      </c>
    </row>
    <row r="35" spans="1:9" x14ac:dyDescent="0.3">
      <c r="A35" t="s">
        <v>46</v>
      </c>
      <c r="B35">
        <v>94</v>
      </c>
      <c r="C35">
        <v>6</v>
      </c>
      <c r="D35" t="s">
        <v>69</v>
      </c>
      <c r="E35" t="s">
        <v>77</v>
      </c>
      <c r="F35" t="s">
        <v>155</v>
      </c>
      <c r="G35">
        <v>2476</v>
      </c>
      <c r="H35">
        <v>16</v>
      </c>
      <c r="I35">
        <v>48</v>
      </c>
    </row>
    <row r="36" spans="1:9" x14ac:dyDescent="0.3">
      <c r="A36" t="s">
        <v>47</v>
      </c>
      <c r="B36">
        <v>94</v>
      </c>
      <c r="C36">
        <v>6</v>
      </c>
      <c r="D36" t="s">
        <v>69</v>
      </c>
      <c r="E36" t="s">
        <v>77</v>
      </c>
      <c r="F36" t="s">
        <v>154</v>
      </c>
      <c r="G36">
        <v>2408</v>
      </c>
      <c r="H36">
        <v>14</v>
      </c>
      <c r="I36">
        <v>32</v>
      </c>
    </row>
    <row r="37" spans="1:9" x14ac:dyDescent="0.3">
      <c r="A37" t="s">
        <v>47</v>
      </c>
      <c r="B37">
        <v>94</v>
      </c>
      <c r="C37">
        <v>6</v>
      </c>
      <c r="D37" t="s">
        <v>69</v>
      </c>
      <c r="E37" t="s">
        <v>77</v>
      </c>
      <c r="F37" t="s">
        <v>155</v>
      </c>
      <c r="G37">
        <v>2408</v>
      </c>
      <c r="H37">
        <v>6</v>
      </c>
      <c r="I37">
        <v>39</v>
      </c>
    </row>
    <row r="38" spans="1:9" x14ac:dyDescent="0.3">
      <c r="A38" t="s">
        <v>48</v>
      </c>
      <c r="B38">
        <v>94</v>
      </c>
      <c r="C38">
        <v>6</v>
      </c>
      <c r="D38" t="s">
        <v>69</v>
      </c>
      <c r="E38" t="s">
        <v>77</v>
      </c>
      <c r="F38" t="s">
        <v>154</v>
      </c>
      <c r="G38">
        <v>2475</v>
      </c>
      <c r="H38">
        <v>27</v>
      </c>
      <c r="I38">
        <v>44</v>
      </c>
    </row>
    <row r="39" spans="1:9" x14ac:dyDescent="0.3">
      <c r="A39" t="s">
        <v>48</v>
      </c>
      <c r="B39">
        <v>94</v>
      </c>
      <c r="C39">
        <v>6</v>
      </c>
      <c r="D39" t="s">
        <v>69</v>
      </c>
      <c r="E39" t="s">
        <v>77</v>
      </c>
      <c r="F39" t="s">
        <v>155</v>
      </c>
      <c r="G39">
        <v>2475</v>
      </c>
      <c r="H39">
        <v>80</v>
      </c>
      <c r="I39">
        <v>114</v>
      </c>
    </row>
    <row r="40" spans="1:9" x14ac:dyDescent="0.3">
      <c r="A40" t="s">
        <v>46</v>
      </c>
      <c r="B40">
        <v>29</v>
      </c>
      <c r="C40">
        <v>7</v>
      </c>
      <c r="D40" t="s">
        <v>78</v>
      </c>
      <c r="E40" t="s">
        <v>79</v>
      </c>
      <c r="F40" t="s">
        <v>154</v>
      </c>
      <c r="G40">
        <v>2393</v>
      </c>
      <c r="H40">
        <v>10</v>
      </c>
      <c r="I40">
        <v>24</v>
      </c>
    </row>
    <row r="41" spans="1:9" x14ac:dyDescent="0.3">
      <c r="A41" t="s">
        <v>46</v>
      </c>
      <c r="B41">
        <v>29</v>
      </c>
      <c r="C41">
        <v>7</v>
      </c>
      <c r="D41" t="s">
        <v>78</v>
      </c>
      <c r="E41" t="s">
        <v>79</v>
      </c>
      <c r="F41" t="s">
        <v>155</v>
      </c>
      <c r="G41">
        <v>2393</v>
      </c>
      <c r="H41">
        <v>14</v>
      </c>
      <c r="I41">
        <v>32</v>
      </c>
    </row>
    <row r="42" spans="1:9" x14ac:dyDescent="0.3">
      <c r="A42" t="s">
        <v>47</v>
      </c>
      <c r="B42">
        <v>29</v>
      </c>
      <c r="C42">
        <v>7</v>
      </c>
      <c r="D42" t="s">
        <v>78</v>
      </c>
      <c r="E42" t="s">
        <v>79</v>
      </c>
      <c r="F42" t="s">
        <v>154</v>
      </c>
      <c r="G42">
        <v>2333</v>
      </c>
      <c r="H42">
        <v>21</v>
      </c>
      <c r="I42">
        <v>31</v>
      </c>
    </row>
    <row r="43" spans="1:9" x14ac:dyDescent="0.3">
      <c r="A43" t="s">
        <v>47</v>
      </c>
      <c r="B43">
        <v>29</v>
      </c>
      <c r="C43">
        <v>7</v>
      </c>
      <c r="D43" t="s">
        <v>78</v>
      </c>
      <c r="E43" t="s">
        <v>79</v>
      </c>
      <c r="F43" t="s">
        <v>155</v>
      </c>
      <c r="G43">
        <v>2333</v>
      </c>
      <c r="H43">
        <v>25</v>
      </c>
      <c r="I43">
        <v>47</v>
      </c>
    </row>
    <row r="44" spans="1:9" x14ac:dyDescent="0.3">
      <c r="A44" t="s">
        <v>48</v>
      </c>
      <c r="B44">
        <v>29</v>
      </c>
      <c r="C44">
        <v>7</v>
      </c>
      <c r="D44" t="s">
        <v>78</v>
      </c>
      <c r="E44" t="s">
        <v>79</v>
      </c>
      <c r="F44" t="s">
        <v>154</v>
      </c>
      <c r="G44">
        <v>2390</v>
      </c>
      <c r="H44">
        <v>36</v>
      </c>
      <c r="I44">
        <v>51</v>
      </c>
    </row>
    <row r="45" spans="1:9" x14ac:dyDescent="0.3">
      <c r="A45" t="s">
        <v>48</v>
      </c>
      <c r="B45">
        <v>29</v>
      </c>
      <c r="C45">
        <v>7</v>
      </c>
      <c r="D45" t="s">
        <v>78</v>
      </c>
      <c r="E45" t="s">
        <v>79</v>
      </c>
      <c r="F45" t="s">
        <v>155</v>
      </c>
      <c r="G45">
        <v>2390</v>
      </c>
      <c r="H45">
        <v>49</v>
      </c>
      <c r="I45">
        <v>77</v>
      </c>
    </row>
    <row r="46" spans="1:9" x14ac:dyDescent="0.3">
      <c r="A46" t="s">
        <v>46</v>
      </c>
      <c r="B46">
        <v>230</v>
      </c>
      <c r="C46">
        <v>8</v>
      </c>
      <c r="D46" t="s">
        <v>69</v>
      </c>
      <c r="E46" t="s">
        <v>70</v>
      </c>
      <c r="F46" t="s">
        <v>154</v>
      </c>
      <c r="G46">
        <v>778</v>
      </c>
      <c r="H46">
        <v>13</v>
      </c>
      <c r="I46">
        <v>15</v>
      </c>
    </row>
    <row r="47" spans="1:9" x14ac:dyDescent="0.3">
      <c r="A47" t="s">
        <v>46</v>
      </c>
      <c r="B47">
        <v>230</v>
      </c>
      <c r="C47">
        <v>8</v>
      </c>
      <c r="D47" t="s">
        <v>69</v>
      </c>
      <c r="E47" t="s">
        <v>70</v>
      </c>
      <c r="F47" t="s">
        <v>155</v>
      </c>
      <c r="G47">
        <v>778</v>
      </c>
      <c r="H47">
        <v>13</v>
      </c>
      <c r="I47">
        <v>26</v>
      </c>
    </row>
    <row r="48" spans="1:9" x14ac:dyDescent="0.3">
      <c r="A48" t="s">
        <v>47</v>
      </c>
      <c r="B48">
        <v>230</v>
      </c>
      <c r="C48">
        <v>8</v>
      </c>
      <c r="D48" t="s">
        <v>69</v>
      </c>
      <c r="E48" t="s">
        <v>70</v>
      </c>
      <c r="F48" t="s">
        <v>154</v>
      </c>
      <c r="G48">
        <v>778</v>
      </c>
      <c r="H48">
        <v>22</v>
      </c>
      <c r="I48">
        <v>36</v>
      </c>
    </row>
    <row r="49" spans="1:9" x14ac:dyDescent="0.3">
      <c r="A49" t="s">
        <v>47</v>
      </c>
      <c r="B49">
        <v>230</v>
      </c>
      <c r="C49">
        <v>8</v>
      </c>
      <c r="D49" t="s">
        <v>69</v>
      </c>
      <c r="E49" t="s">
        <v>70</v>
      </c>
      <c r="F49" t="s">
        <v>155</v>
      </c>
      <c r="G49">
        <v>778</v>
      </c>
      <c r="H49">
        <v>36</v>
      </c>
      <c r="I49">
        <v>70</v>
      </c>
    </row>
    <row r="50" spans="1:9" x14ac:dyDescent="0.3">
      <c r="A50" t="s">
        <v>48</v>
      </c>
      <c r="B50">
        <v>230</v>
      </c>
      <c r="C50">
        <v>8</v>
      </c>
      <c r="D50" t="s">
        <v>69</v>
      </c>
      <c r="E50" t="s">
        <v>70</v>
      </c>
      <c r="F50" t="s">
        <v>154</v>
      </c>
      <c r="G50">
        <v>777</v>
      </c>
      <c r="H50">
        <v>23</v>
      </c>
      <c r="I50">
        <v>36</v>
      </c>
    </row>
    <row r="51" spans="1:9" x14ac:dyDescent="0.3">
      <c r="A51" t="s">
        <v>48</v>
      </c>
      <c r="B51">
        <v>230</v>
      </c>
      <c r="C51">
        <v>8</v>
      </c>
      <c r="D51" t="s">
        <v>69</v>
      </c>
      <c r="E51" t="s">
        <v>70</v>
      </c>
      <c r="F51" t="s">
        <v>155</v>
      </c>
      <c r="G51">
        <v>777</v>
      </c>
      <c r="H51">
        <v>45</v>
      </c>
      <c r="I51">
        <v>87</v>
      </c>
    </row>
    <row r="52" spans="1:9" x14ac:dyDescent="0.3">
      <c r="A52" t="s">
        <v>46</v>
      </c>
      <c r="B52">
        <v>35</v>
      </c>
      <c r="C52">
        <v>9</v>
      </c>
      <c r="D52" t="s">
        <v>78</v>
      </c>
      <c r="E52" t="s">
        <v>80</v>
      </c>
      <c r="F52" t="s">
        <v>154</v>
      </c>
      <c r="G52">
        <v>846</v>
      </c>
      <c r="H52">
        <v>12</v>
      </c>
      <c r="I52">
        <v>25</v>
      </c>
    </row>
    <row r="53" spans="1:9" x14ac:dyDescent="0.3">
      <c r="A53" t="s">
        <v>46</v>
      </c>
      <c r="B53">
        <v>35</v>
      </c>
      <c r="C53">
        <v>9</v>
      </c>
      <c r="D53" t="s">
        <v>78</v>
      </c>
      <c r="E53" t="s">
        <v>80</v>
      </c>
      <c r="F53" t="s">
        <v>155</v>
      </c>
      <c r="G53">
        <v>846</v>
      </c>
      <c r="H53">
        <v>21</v>
      </c>
      <c r="I53">
        <v>49</v>
      </c>
    </row>
    <row r="54" spans="1:9" x14ac:dyDescent="0.3">
      <c r="A54" t="s">
        <v>47</v>
      </c>
      <c r="B54">
        <v>35</v>
      </c>
      <c r="C54">
        <v>9</v>
      </c>
      <c r="D54" t="s">
        <v>78</v>
      </c>
      <c r="E54" t="s">
        <v>80</v>
      </c>
      <c r="F54" t="s">
        <v>154</v>
      </c>
      <c r="G54">
        <v>766</v>
      </c>
      <c r="H54">
        <v>12</v>
      </c>
      <c r="I54">
        <v>30</v>
      </c>
    </row>
    <row r="55" spans="1:9" x14ac:dyDescent="0.3">
      <c r="A55" t="s">
        <v>47</v>
      </c>
      <c r="B55">
        <v>35</v>
      </c>
      <c r="C55">
        <v>9</v>
      </c>
      <c r="D55" t="s">
        <v>78</v>
      </c>
      <c r="E55" t="s">
        <v>80</v>
      </c>
      <c r="F55" t="s">
        <v>155</v>
      </c>
      <c r="G55">
        <v>766</v>
      </c>
      <c r="H55">
        <v>17</v>
      </c>
      <c r="I55">
        <v>43</v>
      </c>
    </row>
    <row r="56" spans="1:9" x14ac:dyDescent="0.3">
      <c r="A56" t="s">
        <v>48</v>
      </c>
      <c r="B56">
        <v>35</v>
      </c>
      <c r="C56">
        <v>9</v>
      </c>
      <c r="D56" t="s">
        <v>78</v>
      </c>
      <c r="E56" t="s">
        <v>80</v>
      </c>
      <c r="F56" t="s">
        <v>154</v>
      </c>
      <c r="G56">
        <v>846</v>
      </c>
      <c r="H56">
        <v>24</v>
      </c>
      <c r="I56">
        <v>45</v>
      </c>
    </row>
    <row r="57" spans="1:9" x14ac:dyDescent="0.3">
      <c r="A57" t="s">
        <v>48</v>
      </c>
      <c r="B57">
        <v>35</v>
      </c>
      <c r="C57">
        <v>9</v>
      </c>
      <c r="D57" t="s">
        <v>78</v>
      </c>
      <c r="E57" t="s">
        <v>80</v>
      </c>
      <c r="F57" t="s">
        <v>155</v>
      </c>
      <c r="G57">
        <v>846</v>
      </c>
      <c r="H57">
        <v>59</v>
      </c>
      <c r="I57">
        <v>78</v>
      </c>
    </row>
    <row r="58" spans="1:9" x14ac:dyDescent="0.3">
      <c r="A58" t="s">
        <v>46</v>
      </c>
      <c r="B58">
        <v>34</v>
      </c>
      <c r="C58">
        <v>10</v>
      </c>
      <c r="D58" t="s">
        <v>78</v>
      </c>
      <c r="E58" t="s">
        <v>81</v>
      </c>
      <c r="F58" t="s">
        <v>154</v>
      </c>
      <c r="G58">
        <v>658</v>
      </c>
      <c r="H58">
        <v>15</v>
      </c>
      <c r="I58">
        <v>25</v>
      </c>
    </row>
    <row r="59" spans="1:9" x14ac:dyDescent="0.3">
      <c r="A59" t="s">
        <v>46</v>
      </c>
      <c r="B59">
        <v>34</v>
      </c>
      <c r="C59">
        <v>10</v>
      </c>
      <c r="D59" t="s">
        <v>78</v>
      </c>
      <c r="E59" t="s">
        <v>81</v>
      </c>
      <c r="F59" t="s">
        <v>155</v>
      </c>
      <c r="G59">
        <v>658</v>
      </c>
      <c r="H59">
        <v>21</v>
      </c>
      <c r="I59">
        <v>42</v>
      </c>
    </row>
    <row r="60" spans="1:9" x14ac:dyDescent="0.3">
      <c r="A60" t="s">
        <v>47</v>
      </c>
      <c r="B60">
        <v>34</v>
      </c>
      <c r="C60">
        <v>10</v>
      </c>
      <c r="D60" t="s">
        <v>78</v>
      </c>
      <c r="E60" t="s">
        <v>81</v>
      </c>
      <c r="F60" t="s">
        <v>154</v>
      </c>
      <c r="G60">
        <v>598</v>
      </c>
      <c r="H60">
        <v>20</v>
      </c>
      <c r="I60">
        <v>32</v>
      </c>
    </row>
    <row r="61" spans="1:9" x14ac:dyDescent="0.3">
      <c r="A61" t="s">
        <v>47</v>
      </c>
      <c r="B61">
        <v>34</v>
      </c>
      <c r="C61">
        <v>10</v>
      </c>
      <c r="D61" t="s">
        <v>78</v>
      </c>
      <c r="E61" t="s">
        <v>81</v>
      </c>
      <c r="F61" t="s">
        <v>155</v>
      </c>
      <c r="G61">
        <v>598</v>
      </c>
      <c r="H61">
        <v>21</v>
      </c>
      <c r="I61">
        <v>42</v>
      </c>
    </row>
    <row r="62" spans="1:9" x14ac:dyDescent="0.3">
      <c r="A62" t="s">
        <v>48</v>
      </c>
      <c r="B62">
        <v>34</v>
      </c>
      <c r="C62">
        <v>10</v>
      </c>
      <c r="D62" t="s">
        <v>78</v>
      </c>
      <c r="E62" t="s">
        <v>81</v>
      </c>
      <c r="F62" t="s">
        <v>154</v>
      </c>
      <c r="G62">
        <v>657</v>
      </c>
      <c r="H62">
        <v>30</v>
      </c>
      <c r="I62">
        <v>49</v>
      </c>
    </row>
    <row r="63" spans="1:9" x14ac:dyDescent="0.3">
      <c r="A63" t="s">
        <v>48</v>
      </c>
      <c r="B63">
        <v>34</v>
      </c>
      <c r="C63">
        <v>10</v>
      </c>
      <c r="D63" t="s">
        <v>78</v>
      </c>
      <c r="E63" t="s">
        <v>81</v>
      </c>
      <c r="F63" t="s">
        <v>155</v>
      </c>
      <c r="G63">
        <v>657</v>
      </c>
      <c r="H63">
        <v>51</v>
      </c>
      <c r="I63">
        <v>72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6B8E-A208-40A6-ADE5-3FD569DB461E}">
  <dimension ref="A1:S33"/>
  <sheetViews>
    <sheetView zoomScale="55" zoomScaleNormal="55" workbookViewId="0">
      <selection activeCell="K40" sqref="K40"/>
    </sheetView>
  </sheetViews>
  <sheetFormatPr defaultRowHeight="14.4" x14ac:dyDescent="0.3"/>
  <cols>
    <col min="1" max="1" width="9.88671875" customWidth="1"/>
    <col min="2" max="2" width="22.44140625" customWidth="1"/>
    <col min="3" max="3" width="24.21875" customWidth="1"/>
    <col min="4" max="4" width="22.44140625" customWidth="1"/>
    <col min="5" max="5" width="17.77734375" customWidth="1"/>
    <col min="6" max="6" width="20" customWidth="1"/>
    <col min="7" max="7" width="24.88671875" customWidth="1"/>
    <col min="10" max="10" width="20.6640625" bestFit="1" customWidth="1"/>
    <col min="11" max="11" width="28.44140625" bestFit="1" customWidth="1"/>
  </cols>
  <sheetData>
    <row r="1" spans="1:19" ht="18" x14ac:dyDescent="0.35">
      <c r="A1" s="74" t="s">
        <v>178</v>
      </c>
      <c r="J1" s="74" t="s">
        <v>179</v>
      </c>
      <c r="K1" s="75"/>
      <c r="L1" s="75"/>
      <c r="M1" s="75"/>
      <c r="N1" s="74" t="s">
        <v>181</v>
      </c>
      <c r="S1" s="74"/>
    </row>
    <row r="2" spans="1:19" x14ac:dyDescent="0.3">
      <c r="A2" t="s">
        <v>189</v>
      </c>
    </row>
    <row r="3" spans="1:19" x14ac:dyDescent="0.3">
      <c r="A3" t="s">
        <v>58</v>
      </c>
      <c r="B3" t="s">
        <v>65</v>
      </c>
      <c r="C3" t="s">
        <v>66</v>
      </c>
      <c r="D3" t="s">
        <v>67</v>
      </c>
      <c r="E3" t="s">
        <v>68</v>
      </c>
      <c r="F3" t="s">
        <v>63</v>
      </c>
      <c r="G3" t="s">
        <v>64</v>
      </c>
      <c r="J3" s="1" t="s">
        <v>58</v>
      </c>
      <c r="K3" t="s">
        <v>48</v>
      </c>
    </row>
    <row r="4" spans="1:19" x14ac:dyDescent="0.3">
      <c r="A4" t="s">
        <v>46</v>
      </c>
      <c r="B4">
        <v>92</v>
      </c>
      <c r="C4">
        <v>1</v>
      </c>
      <c r="D4" t="s">
        <v>69</v>
      </c>
      <c r="E4" t="s">
        <v>70</v>
      </c>
      <c r="F4">
        <v>11706</v>
      </c>
      <c r="G4">
        <v>10.64</v>
      </c>
    </row>
    <row r="5" spans="1:19" x14ac:dyDescent="0.3">
      <c r="A5" t="s">
        <v>47</v>
      </c>
      <c r="B5">
        <v>92</v>
      </c>
      <c r="C5">
        <v>1</v>
      </c>
      <c r="D5" t="s">
        <v>69</v>
      </c>
      <c r="E5" t="s">
        <v>70</v>
      </c>
      <c r="F5">
        <v>11706</v>
      </c>
      <c r="G5">
        <v>6.45</v>
      </c>
      <c r="J5" s="1" t="s">
        <v>194</v>
      </c>
      <c r="K5" t="s">
        <v>187</v>
      </c>
    </row>
    <row r="6" spans="1:19" x14ac:dyDescent="0.3">
      <c r="A6" t="s">
        <v>48</v>
      </c>
      <c r="B6">
        <v>92</v>
      </c>
      <c r="C6">
        <v>1</v>
      </c>
      <c r="D6" t="s">
        <v>69</v>
      </c>
      <c r="E6" t="s">
        <v>70</v>
      </c>
      <c r="F6">
        <v>11706</v>
      </c>
      <c r="G6">
        <v>82.64</v>
      </c>
      <c r="J6" s="2">
        <v>1</v>
      </c>
    </row>
    <row r="7" spans="1:19" x14ac:dyDescent="0.3">
      <c r="A7" t="s">
        <v>46</v>
      </c>
      <c r="B7">
        <v>93</v>
      </c>
      <c r="C7">
        <v>2</v>
      </c>
      <c r="D7" t="s">
        <v>69</v>
      </c>
      <c r="E7" t="s">
        <v>71</v>
      </c>
      <c r="F7">
        <v>4944</v>
      </c>
      <c r="G7">
        <v>17.79</v>
      </c>
      <c r="J7" s="20">
        <v>92</v>
      </c>
      <c r="K7">
        <v>82.64</v>
      </c>
    </row>
    <row r="8" spans="1:19" x14ac:dyDescent="0.3">
      <c r="A8" t="s">
        <v>47</v>
      </c>
      <c r="B8">
        <v>93</v>
      </c>
      <c r="C8">
        <v>2</v>
      </c>
      <c r="D8" t="s">
        <v>69</v>
      </c>
      <c r="E8" t="s">
        <v>71</v>
      </c>
      <c r="F8">
        <v>4944</v>
      </c>
      <c r="G8">
        <v>10.130000000000001</v>
      </c>
      <c r="J8" s="2">
        <v>2</v>
      </c>
    </row>
    <row r="9" spans="1:19" x14ac:dyDescent="0.3">
      <c r="A9" t="s">
        <v>48</v>
      </c>
      <c r="B9">
        <v>93</v>
      </c>
      <c r="C9">
        <v>2</v>
      </c>
      <c r="D9" t="s">
        <v>69</v>
      </c>
      <c r="E9" t="s">
        <v>71</v>
      </c>
      <c r="F9">
        <v>4944</v>
      </c>
      <c r="G9">
        <v>68.14</v>
      </c>
      <c r="J9" s="20">
        <v>93</v>
      </c>
      <c r="K9">
        <v>68.14</v>
      </c>
    </row>
    <row r="10" spans="1:19" x14ac:dyDescent="0.3">
      <c r="A10" t="s">
        <v>46</v>
      </c>
      <c r="B10">
        <v>112</v>
      </c>
      <c r="C10">
        <v>3</v>
      </c>
      <c r="D10" t="s">
        <v>72</v>
      </c>
      <c r="E10" t="s">
        <v>73</v>
      </c>
      <c r="F10">
        <v>4571</v>
      </c>
      <c r="G10">
        <v>7.89</v>
      </c>
      <c r="J10" s="2">
        <v>3</v>
      </c>
    </row>
    <row r="11" spans="1:19" x14ac:dyDescent="0.3">
      <c r="A11" t="s">
        <v>47</v>
      </c>
      <c r="B11">
        <v>112</v>
      </c>
      <c r="C11">
        <v>3</v>
      </c>
      <c r="D11" t="s">
        <v>72</v>
      </c>
      <c r="E11" t="s">
        <v>73</v>
      </c>
      <c r="F11">
        <v>4571</v>
      </c>
      <c r="G11">
        <v>44.57</v>
      </c>
      <c r="J11" s="20">
        <v>112</v>
      </c>
      <c r="K11">
        <v>42.22</v>
      </c>
    </row>
    <row r="12" spans="1:19" x14ac:dyDescent="0.3">
      <c r="A12" t="s">
        <v>48</v>
      </c>
      <c r="B12">
        <v>112</v>
      </c>
      <c r="C12">
        <v>3</v>
      </c>
      <c r="D12" t="s">
        <v>72</v>
      </c>
      <c r="E12" t="s">
        <v>73</v>
      </c>
      <c r="F12">
        <v>4571</v>
      </c>
      <c r="G12">
        <v>42.22</v>
      </c>
      <c r="J12" s="2">
        <v>4</v>
      </c>
    </row>
    <row r="13" spans="1:19" x14ac:dyDescent="0.3">
      <c r="A13" t="s">
        <v>46</v>
      </c>
      <c r="B13">
        <v>97</v>
      </c>
      <c r="C13">
        <v>4</v>
      </c>
      <c r="D13" t="s">
        <v>69</v>
      </c>
      <c r="E13" t="s">
        <v>74</v>
      </c>
      <c r="F13">
        <v>4023</v>
      </c>
      <c r="G13">
        <v>13.19</v>
      </c>
      <c r="J13" s="20">
        <v>97</v>
      </c>
      <c r="K13">
        <v>75</v>
      </c>
    </row>
    <row r="14" spans="1:19" x14ac:dyDescent="0.3">
      <c r="A14" t="s">
        <v>47</v>
      </c>
      <c r="B14">
        <v>97</v>
      </c>
      <c r="C14">
        <v>4</v>
      </c>
      <c r="D14" t="s">
        <v>69</v>
      </c>
      <c r="E14" t="s">
        <v>74</v>
      </c>
      <c r="F14">
        <v>4023</v>
      </c>
      <c r="G14">
        <v>6.02</v>
      </c>
      <c r="J14" s="2">
        <v>5</v>
      </c>
    </row>
    <row r="15" spans="1:19" x14ac:dyDescent="0.3">
      <c r="A15" t="s">
        <v>48</v>
      </c>
      <c r="B15">
        <v>97</v>
      </c>
      <c r="C15">
        <v>4</v>
      </c>
      <c r="D15" t="s">
        <v>69</v>
      </c>
      <c r="E15" t="s">
        <v>74</v>
      </c>
      <c r="F15">
        <v>4023</v>
      </c>
      <c r="G15">
        <v>75</v>
      </c>
      <c r="J15" s="20">
        <v>134</v>
      </c>
      <c r="K15">
        <v>39.21</v>
      </c>
    </row>
    <row r="16" spans="1:19" x14ac:dyDescent="0.3">
      <c r="A16" t="s">
        <v>46</v>
      </c>
      <c r="B16">
        <v>134</v>
      </c>
      <c r="C16">
        <v>5</v>
      </c>
      <c r="D16" t="s">
        <v>75</v>
      </c>
      <c r="E16" t="s">
        <v>76</v>
      </c>
      <c r="F16">
        <v>1998</v>
      </c>
      <c r="G16">
        <v>27.06</v>
      </c>
      <c r="J16" s="2">
        <v>6</v>
      </c>
    </row>
    <row r="17" spans="1:11" x14ac:dyDescent="0.3">
      <c r="A17" t="s">
        <v>47</v>
      </c>
      <c r="B17">
        <v>134</v>
      </c>
      <c r="C17">
        <v>5</v>
      </c>
      <c r="D17" t="s">
        <v>75</v>
      </c>
      <c r="E17" t="s">
        <v>76</v>
      </c>
      <c r="F17">
        <v>1998</v>
      </c>
      <c r="G17">
        <v>30.77</v>
      </c>
      <c r="J17" s="20">
        <v>94</v>
      </c>
      <c r="K17">
        <v>75.31</v>
      </c>
    </row>
    <row r="18" spans="1:11" x14ac:dyDescent="0.3">
      <c r="A18" t="s">
        <v>48</v>
      </c>
      <c r="B18">
        <v>134</v>
      </c>
      <c r="C18">
        <v>5</v>
      </c>
      <c r="D18" t="s">
        <v>75</v>
      </c>
      <c r="E18" t="s">
        <v>76</v>
      </c>
      <c r="F18">
        <v>1998</v>
      </c>
      <c r="G18">
        <v>39.21</v>
      </c>
      <c r="J18" s="2">
        <v>7</v>
      </c>
    </row>
    <row r="19" spans="1:11" x14ac:dyDescent="0.3">
      <c r="A19" t="s">
        <v>46</v>
      </c>
      <c r="B19">
        <v>94</v>
      </c>
      <c r="C19">
        <v>6</v>
      </c>
      <c r="D19" t="s">
        <v>69</v>
      </c>
      <c r="E19" t="s">
        <v>77</v>
      </c>
      <c r="F19">
        <v>1964</v>
      </c>
      <c r="G19">
        <v>14.16</v>
      </c>
      <c r="J19" s="20">
        <v>29</v>
      </c>
      <c r="K19">
        <v>54.46</v>
      </c>
    </row>
    <row r="20" spans="1:11" x14ac:dyDescent="0.3">
      <c r="A20" t="s">
        <v>47</v>
      </c>
      <c r="B20">
        <v>94</v>
      </c>
      <c r="C20">
        <v>6</v>
      </c>
      <c r="D20" t="s">
        <v>69</v>
      </c>
      <c r="E20" t="s">
        <v>77</v>
      </c>
      <c r="F20">
        <v>1964</v>
      </c>
      <c r="G20">
        <v>5.0999999999999996</v>
      </c>
      <c r="J20" s="2">
        <v>8</v>
      </c>
    </row>
    <row r="21" spans="1:11" x14ac:dyDescent="0.3">
      <c r="A21" t="s">
        <v>48</v>
      </c>
      <c r="B21">
        <v>94</v>
      </c>
      <c r="C21">
        <v>6</v>
      </c>
      <c r="D21" t="s">
        <v>69</v>
      </c>
      <c r="E21" t="s">
        <v>77</v>
      </c>
      <c r="F21">
        <v>1964</v>
      </c>
      <c r="G21">
        <v>75.31</v>
      </c>
      <c r="J21" s="20">
        <v>230</v>
      </c>
      <c r="K21">
        <v>44.44</v>
      </c>
    </row>
    <row r="22" spans="1:11" x14ac:dyDescent="0.3">
      <c r="A22" t="s">
        <v>46</v>
      </c>
      <c r="B22">
        <v>29</v>
      </c>
      <c r="C22">
        <v>7</v>
      </c>
      <c r="D22" t="s">
        <v>78</v>
      </c>
      <c r="E22" t="s">
        <v>79</v>
      </c>
      <c r="F22">
        <v>1862</v>
      </c>
      <c r="G22">
        <v>15.63</v>
      </c>
      <c r="J22" s="2">
        <v>9</v>
      </c>
    </row>
    <row r="23" spans="1:11" x14ac:dyDescent="0.3">
      <c r="A23" t="s">
        <v>47</v>
      </c>
      <c r="B23">
        <v>29</v>
      </c>
      <c r="C23">
        <v>7</v>
      </c>
      <c r="D23" t="s">
        <v>78</v>
      </c>
      <c r="E23" t="s">
        <v>79</v>
      </c>
      <c r="F23">
        <v>1862</v>
      </c>
      <c r="G23">
        <v>27.47</v>
      </c>
      <c r="J23" s="20">
        <v>35</v>
      </c>
      <c r="K23">
        <v>58.44</v>
      </c>
    </row>
    <row r="24" spans="1:11" x14ac:dyDescent="0.3">
      <c r="A24" t="s">
        <v>48</v>
      </c>
      <c r="B24">
        <v>29</v>
      </c>
      <c r="C24">
        <v>7</v>
      </c>
      <c r="D24" t="s">
        <v>78</v>
      </c>
      <c r="E24" t="s">
        <v>79</v>
      </c>
      <c r="F24">
        <v>1862</v>
      </c>
      <c r="G24">
        <v>54.46</v>
      </c>
      <c r="J24" s="2">
        <v>10</v>
      </c>
    </row>
    <row r="25" spans="1:11" x14ac:dyDescent="0.3">
      <c r="A25" t="s">
        <v>46</v>
      </c>
      <c r="B25">
        <v>230</v>
      </c>
      <c r="C25">
        <v>8</v>
      </c>
      <c r="D25" t="s">
        <v>69</v>
      </c>
      <c r="E25" t="s">
        <v>70</v>
      </c>
      <c r="F25">
        <v>577</v>
      </c>
      <c r="G25">
        <v>14</v>
      </c>
      <c r="J25" s="20">
        <v>34</v>
      </c>
      <c r="K25">
        <v>51.37</v>
      </c>
    </row>
    <row r="26" spans="1:11" x14ac:dyDescent="0.3">
      <c r="A26" t="s">
        <v>47</v>
      </c>
      <c r="B26">
        <v>230</v>
      </c>
      <c r="C26">
        <v>8</v>
      </c>
      <c r="D26" t="s">
        <v>69</v>
      </c>
      <c r="E26" t="s">
        <v>70</v>
      </c>
      <c r="F26">
        <v>577</v>
      </c>
      <c r="G26">
        <v>39.36</v>
      </c>
    </row>
    <row r="27" spans="1:11" x14ac:dyDescent="0.3">
      <c r="A27" t="s">
        <v>48</v>
      </c>
      <c r="B27">
        <v>230</v>
      </c>
      <c r="C27">
        <v>8</v>
      </c>
      <c r="D27" t="s">
        <v>69</v>
      </c>
      <c r="E27" t="s">
        <v>70</v>
      </c>
      <c r="F27">
        <v>577</v>
      </c>
      <c r="G27">
        <v>44.44</v>
      </c>
      <c r="K27">
        <f>MEDIAN(K7:K25)</f>
        <v>56.45</v>
      </c>
    </row>
    <row r="28" spans="1:11" x14ac:dyDescent="0.3">
      <c r="A28" t="s">
        <v>46</v>
      </c>
      <c r="B28">
        <v>35</v>
      </c>
      <c r="C28">
        <v>9</v>
      </c>
      <c r="D28" t="s">
        <v>78</v>
      </c>
      <c r="E28" t="s">
        <v>80</v>
      </c>
      <c r="F28">
        <v>475</v>
      </c>
      <c r="G28">
        <v>21.43</v>
      </c>
    </row>
    <row r="29" spans="1:11" x14ac:dyDescent="0.3">
      <c r="A29" t="s">
        <v>47</v>
      </c>
      <c r="B29">
        <v>35</v>
      </c>
      <c r="C29">
        <v>9</v>
      </c>
      <c r="D29" t="s">
        <v>78</v>
      </c>
      <c r="E29" t="s">
        <v>80</v>
      </c>
      <c r="F29">
        <v>475</v>
      </c>
      <c r="G29">
        <v>16.899999999999999</v>
      </c>
    </row>
    <row r="30" spans="1:11" x14ac:dyDescent="0.3">
      <c r="A30" t="s">
        <v>48</v>
      </c>
      <c r="B30">
        <v>35</v>
      </c>
      <c r="C30">
        <v>9</v>
      </c>
      <c r="D30" t="s">
        <v>78</v>
      </c>
      <c r="E30" t="s">
        <v>80</v>
      </c>
      <c r="F30">
        <v>475</v>
      </c>
      <c r="G30">
        <v>58.44</v>
      </c>
    </row>
    <row r="31" spans="1:11" x14ac:dyDescent="0.3">
      <c r="A31" t="s">
        <v>46</v>
      </c>
      <c r="B31">
        <v>34</v>
      </c>
      <c r="C31">
        <v>10</v>
      </c>
      <c r="D31" t="s">
        <v>78</v>
      </c>
      <c r="E31" t="s">
        <v>81</v>
      </c>
      <c r="F31">
        <v>448</v>
      </c>
      <c r="G31">
        <v>23.04</v>
      </c>
    </row>
    <row r="32" spans="1:11" x14ac:dyDescent="0.3">
      <c r="A32" t="s">
        <v>47</v>
      </c>
      <c r="B32">
        <v>34</v>
      </c>
      <c r="C32">
        <v>10</v>
      </c>
      <c r="D32" t="s">
        <v>78</v>
      </c>
      <c r="E32" t="s">
        <v>81</v>
      </c>
      <c r="F32">
        <v>448</v>
      </c>
      <c r="G32">
        <v>20.75</v>
      </c>
    </row>
    <row r="33" spans="1:7" x14ac:dyDescent="0.3">
      <c r="A33" t="s">
        <v>48</v>
      </c>
      <c r="B33">
        <v>34</v>
      </c>
      <c r="C33">
        <v>10</v>
      </c>
      <c r="D33" t="s">
        <v>78</v>
      </c>
      <c r="E33" t="s">
        <v>81</v>
      </c>
      <c r="F33">
        <v>448</v>
      </c>
      <c r="G33">
        <v>51.37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39EF-DB9B-4FC7-B75D-2FA7D42EA1E9}">
  <sheetPr>
    <tabColor theme="4"/>
  </sheetPr>
  <dimension ref="B2:O8"/>
  <sheetViews>
    <sheetView showGridLines="0" zoomScale="70" zoomScaleNormal="70" workbookViewId="0">
      <selection activeCell="M26" sqref="M26"/>
    </sheetView>
  </sheetViews>
  <sheetFormatPr defaultRowHeight="14.4" x14ac:dyDescent="0.3"/>
  <cols>
    <col min="12" max="12" width="11.33203125" bestFit="1" customWidth="1"/>
    <col min="13" max="13" width="10.33203125" bestFit="1" customWidth="1"/>
    <col min="14" max="14" width="10.77734375" bestFit="1" customWidth="1"/>
    <col min="15" max="15" width="12.109375" bestFit="1" customWidth="1"/>
  </cols>
  <sheetData>
    <row r="2" spans="2:15" ht="18" x14ac:dyDescent="0.35">
      <c r="B2" s="75" t="s">
        <v>205</v>
      </c>
    </row>
    <row r="3" spans="2:15" ht="15.6" x14ac:dyDescent="0.3">
      <c r="B3" s="84" t="s">
        <v>217</v>
      </c>
    </row>
    <row r="4" spans="2:15" ht="15.6" x14ac:dyDescent="0.3">
      <c r="B4" s="84" t="s">
        <v>218</v>
      </c>
    </row>
    <row r="6" spans="2:15" x14ac:dyDescent="0.3">
      <c r="L6" s="70" t="s">
        <v>166</v>
      </c>
      <c r="M6" s="72" t="s">
        <v>124</v>
      </c>
      <c r="N6" s="72" t="s">
        <v>149</v>
      </c>
      <c r="O6" s="50" t="s">
        <v>151</v>
      </c>
    </row>
    <row r="7" spans="2:15" x14ac:dyDescent="0.3">
      <c r="L7" s="71">
        <v>4</v>
      </c>
      <c r="M7" s="73">
        <v>85610</v>
      </c>
      <c r="N7" s="73">
        <v>41941</v>
      </c>
      <c r="O7" s="3">
        <v>99.99</v>
      </c>
    </row>
    <row r="8" spans="2:15" x14ac:dyDescent="0.3">
      <c r="L8" s="71">
        <v>1</v>
      </c>
      <c r="M8" s="73">
        <v>235</v>
      </c>
      <c r="N8" s="73">
        <v>4</v>
      </c>
      <c r="O8" s="3">
        <v>0.01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1312-E9A9-4A1C-8C68-7C9B84DCB41A}">
  <dimension ref="A1:AB6"/>
  <sheetViews>
    <sheetView topLeftCell="G1" zoomScale="70" zoomScaleNormal="70" workbookViewId="0">
      <selection activeCell="Z31" sqref="Z31"/>
    </sheetView>
  </sheetViews>
  <sheetFormatPr defaultRowHeight="14.4" x14ac:dyDescent="0.3"/>
  <cols>
    <col min="1" max="1" width="15" customWidth="1"/>
    <col min="2" max="2" width="12.5546875" customWidth="1"/>
    <col min="3" max="3" width="13" customWidth="1"/>
    <col min="4" max="4" width="14.44140625" customWidth="1"/>
    <col min="5" max="5" width="14.5546875" customWidth="1"/>
    <col min="6" max="6" width="16.21875" customWidth="1"/>
    <col min="9" max="9" width="16" bestFit="1" customWidth="1"/>
    <col min="10" max="10" width="11.6640625" bestFit="1" customWidth="1"/>
    <col min="11" max="11" width="12.21875" bestFit="1" customWidth="1"/>
    <col min="12" max="12" width="14.21875" bestFit="1" customWidth="1"/>
    <col min="25" max="25" width="11.33203125" bestFit="1" customWidth="1"/>
    <col min="26" max="26" width="10.5546875" bestFit="1" customWidth="1"/>
    <col min="27" max="27" width="11.109375" bestFit="1" customWidth="1"/>
    <col min="28" max="28" width="12.33203125" bestFit="1" customWidth="1"/>
  </cols>
  <sheetData>
    <row r="1" spans="1:28" ht="18" x14ac:dyDescent="0.35">
      <c r="A1" s="74" t="s">
        <v>178</v>
      </c>
      <c r="I1" s="74" t="s">
        <v>179</v>
      </c>
      <c r="J1" s="75"/>
      <c r="K1" s="75"/>
      <c r="L1" s="75"/>
      <c r="M1" s="75"/>
      <c r="N1" s="75"/>
      <c r="O1" s="74" t="s">
        <v>181</v>
      </c>
    </row>
    <row r="2" spans="1:28" x14ac:dyDescent="0.3">
      <c r="A2" t="s">
        <v>189</v>
      </c>
    </row>
    <row r="3" spans="1:28" x14ac:dyDescent="0.3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I3" s="1" t="s">
        <v>193</v>
      </c>
      <c r="J3" t="s">
        <v>195</v>
      </c>
      <c r="K3" t="s">
        <v>196</v>
      </c>
      <c r="L3" t="s">
        <v>197</v>
      </c>
    </row>
    <row r="4" spans="1:28" x14ac:dyDescent="0.3">
      <c r="A4">
        <v>4</v>
      </c>
      <c r="B4">
        <v>85610</v>
      </c>
      <c r="C4">
        <v>41941</v>
      </c>
      <c r="D4">
        <v>48.99</v>
      </c>
      <c r="E4">
        <v>99.99</v>
      </c>
      <c r="F4">
        <v>1</v>
      </c>
      <c r="I4" s="2">
        <v>4</v>
      </c>
      <c r="J4" s="82">
        <v>85610</v>
      </c>
      <c r="K4" s="82">
        <v>41941</v>
      </c>
      <c r="L4" s="82">
        <v>99.99</v>
      </c>
      <c r="Y4" s="70" t="s">
        <v>166</v>
      </c>
      <c r="Z4" s="72" t="s">
        <v>124</v>
      </c>
      <c r="AA4" s="72" t="s">
        <v>149</v>
      </c>
      <c r="AB4" s="50" t="s">
        <v>151</v>
      </c>
    </row>
    <row r="5" spans="1:28" x14ac:dyDescent="0.3">
      <c r="A5">
        <v>1</v>
      </c>
      <c r="B5">
        <v>235</v>
      </c>
      <c r="C5">
        <v>4</v>
      </c>
      <c r="D5">
        <v>1.7</v>
      </c>
      <c r="E5">
        <v>0.01</v>
      </c>
      <c r="F5">
        <v>2</v>
      </c>
      <c r="I5" s="2">
        <v>1</v>
      </c>
      <c r="J5" s="82">
        <v>235</v>
      </c>
      <c r="K5" s="82">
        <v>4</v>
      </c>
      <c r="L5" s="82">
        <v>0.01</v>
      </c>
      <c r="Y5" s="71">
        <v>4</v>
      </c>
      <c r="Z5" s="73">
        <v>85610</v>
      </c>
      <c r="AA5" s="73">
        <v>41941</v>
      </c>
      <c r="AB5" s="3">
        <v>99.99</v>
      </c>
    </row>
    <row r="6" spans="1:28" x14ac:dyDescent="0.3">
      <c r="I6" s="2" t="s">
        <v>141</v>
      </c>
      <c r="J6" s="82">
        <v>85845</v>
      </c>
      <c r="K6" s="82">
        <v>41945</v>
      </c>
      <c r="L6" s="82">
        <v>100</v>
      </c>
      <c r="Y6" s="71">
        <v>1</v>
      </c>
      <c r="Z6" s="73">
        <v>235</v>
      </c>
      <c r="AA6" s="73">
        <v>4</v>
      </c>
      <c r="AB6" s="3">
        <v>0.01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6EFE14-83DF-40C2-A2BC-5A858A525C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1_SLA_overview&amp;Month_trend</vt:lpstr>
      <vt:lpstr>SLA_overview</vt:lpstr>
      <vt:lpstr>Monthly_Lead_Time</vt:lpstr>
      <vt:lpstr>SLA_Month_trend</vt:lpstr>
      <vt:lpstr>SLA_Month_trend_rawdata</vt:lpstr>
      <vt:lpstr>Weekly_Lead_Time</vt:lpstr>
      <vt:lpstr>SLA_Week_trend</vt:lpstr>
      <vt:lpstr>SLA_Week_trend_rawdata</vt:lpstr>
      <vt:lpstr>SLA_Backlog_data</vt:lpstr>
      <vt:lpstr>1_SLA_Week_trend&amp;Backlog</vt:lpstr>
      <vt:lpstr>2_Bottleneck</vt:lpstr>
      <vt:lpstr>Stage_duaration</vt:lpstr>
      <vt:lpstr>Abnormalities</vt:lpstr>
      <vt:lpstr>Bottleneck_contribution</vt:lpstr>
      <vt:lpstr>3_Vendor</vt:lpstr>
      <vt:lpstr>Vendor_ranking</vt:lpstr>
      <vt:lpstr>Vendor_duaration</vt:lpstr>
      <vt:lpstr>Vendor_bottleneck</vt:lpstr>
      <vt:lpstr>3_Spend_area</vt:lpstr>
      <vt:lpstr>Spend_area_ranking</vt:lpstr>
      <vt:lpstr>Spend_area_duaration</vt:lpstr>
      <vt:lpstr>Spend_area_bottleneck</vt:lpstr>
      <vt:lpstr>3_Company</vt:lpstr>
      <vt:lpstr>Company_ranking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Laskowska</dc:creator>
  <cp:lastModifiedBy>Aleksandra Laskowska</cp:lastModifiedBy>
  <dcterms:created xsi:type="dcterms:W3CDTF">2026-04-06T18:17:24Z</dcterms:created>
  <dcterms:modified xsi:type="dcterms:W3CDTF">2026-05-05T15:09:47Z</dcterms:modified>
</cp:coreProperties>
</file>